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roductos" sheetId="2" state="visible" r:id="rId4"/>
    <sheet name="Colecciones" sheetId="3" state="visible" r:id="rId5"/>
    <sheet name="Textos categorías" sheetId="4" state="visible" r:id="rId6"/>
    <sheet name="Palabras clave" sheetId="5" state="visible" r:id="rId7"/>
    <sheet name="Importar a Shopify" sheetId="6" state="visible" r:id="rId8"/>
  </sheets>
  <definedNames>
    <definedName function="false" hidden="true" localSheetId="2" name="_xlnm._FilterDatabase" vbProcedure="false">Colecciones!$A$1:$M$119</definedName>
    <definedName function="false" hidden="true" localSheetId="1" name="_xlnm._FilterDatabase" vbProcedure="false">Productos!$A$1:$L$243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<sst xmlns="http://schemas.openxmlformats.org/spreadsheetml/2006/main" count="3123" uniqueCount="2161">
  <si>
    <t xml:space="preserve">Auditoría SEO de textos – Technofood (tienda Shopify)</t>
  </si>
  <si>
    <t xml:space="preserve">Fecha: 15 de octubre de 2026. Fuente: datos de la tienda en Shopify (productos, colecciones). No incluye textos del tema (home, Nosotros, H1) porque la tienda tiene contraseña.</t>
  </si>
  <si>
    <t xml:space="preserve">Indicador</t>
  </si>
  <si>
    <t xml:space="preserve">Valor</t>
  </si>
  <si>
    <t xml:space="preserve">Cómo se calcula / observación</t>
  </si>
  <si>
    <t xml:space="preserve">Productos activos analizados</t>
  </si>
  <si>
    <t xml:space="preserve">Todos los productos activos de la tienda.</t>
  </si>
  <si>
    <t xml:space="preserve">Productos con SEO title y meta description hoy</t>
  </si>
  <si>
    <t xml:space="preserve">Observación en Shopify: 0 de los primeros 100 productos revisados tenía SEO title o meta description propios. Se asume igual para el resto.</t>
  </si>
  <si>
    <t xml:space="preserve">Colecciones analizadas</t>
  </si>
  <si>
    <t xml:space="preserve">Total de colecciones leídas.</t>
  </si>
  <si>
    <t xml:space="preserve">Colecciones con descripción o imagen hoy</t>
  </si>
  <si>
    <t xml:space="preserve">Observación: ninguna tiene imagen ni SEO propio; solo 'Avícola' tiene descripción y es texto de prueba.</t>
  </si>
  <si>
    <t xml:space="preserve">Títulos de producto a corregir (mayúsculas/marca)</t>
  </si>
  <si>
    <t xml:space="preserve">Comparación exacta entre título actual y sugerido.</t>
  </si>
  <si>
    <t xml:space="preserve">SEO titles propuestos dentro de 60 caracteres</t>
  </si>
  <si>
    <t xml:space="preserve">De los productos; los 'Largo' requieren edición manual.</t>
  </si>
  <si>
    <t xml:space="preserve">Meta descriptions propuestas entre 120 y 155 caracteres</t>
  </si>
  <si>
    <t xml:space="preserve">Las 'Corta' o 'Larga' requieren edición manual.</t>
  </si>
  <si>
    <t xml:space="preserve">Colecciones vacías (0 productos)</t>
  </si>
  <si>
    <t xml:space="preserve">Ocultar de la navegación y aplicar noindex.</t>
  </si>
  <si>
    <t xml:space="preserve">Colecciones con 1 producto</t>
  </si>
  <si>
    <t xml:space="preserve">Candidatas a fusionar o noindex (las de marca se mantienen).</t>
  </si>
  <si>
    <t xml:space="preserve">Colecciones con acción 'Fusionar' o 'Revisar'</t>
  </si>
  <si>
    <t xml:space="preserve">Ver columna 'Acción recomendada'.</t>
  </si>
  <si>
    <t xml:space="preserve">Productos sin imagen</t>
  </si>
  <si>
    <t xml:space="preserve">Observación: 'Sierra para Desposte EFA 86' no tiene imágenes cargadas.</t>
  </si>
  <si>
    <t xml:space="preserve">Método y supuestos</t>
  </si>
  <si>
    <t xml:space="preserve">• Título sugerido: iniciales en mayúscula (según lo pedido), siglas y modelos en mayúscula, y marca agregada cuando el título no la tenía.</t>
  </si>
  <si>
    <t xml:space="preserve">• SEO title: '[Título sugerido] | Technofood Colombia' (si pasa de 60 caracteres se acorta a '| Technofood' o se deja solo el título).</t>
  </si>
  <si>
    <t xml:space="preserve">• Meta description: plantilla generada a partir del título y la marca (no de la descripción del producto). Es una base: personalizar al menos los productos destacados.</t>
  </si>
  <si>
    <t xml:space="preserve">• Los textos de categorías no inventan cifras ni especificaciones; las marcas citadas salen de las colecciones y de los PDF corporativos de marcas por proceso e industria.</t>
  </si>
  <si>
    <t xml:space="preserve">• Las palabras clave son propuestas cualitativas, sin volumen de búsqueda (no hay acceso a Search Console ni a Semrush).</t>
  </si>
  <si>
    <t xml:space="preserve">• Celdas con fondo azul claro = propuestas editables por el equipo.</t>
  </si>
  <si>
    <t xml:space="preserve">Cómo aplicarlo</t>
  </si>
  <si>
    <t xml:space="preserve">1. Productos: revise la hoja 'Productos' y corrija lo marcado 'Largo/Corta' y las notas. Luego exporte la hoja 'Importar a Shopify' como CSV (UTF-8) e impórtela en Shopify (Productos → Importar). Haga primero una prueba con 5 productos y un respaldo de la exportación actual.</t>
  </si>
  <si>
    <t xml:space="preserve">2. Ojo: la importación cambia el Título del producto; el handle no cambia (no hay que crear redirecciones).</t>
  </si>
  <si>
    <t xml:space="preserve">3. Colecciones: Shopify no importa SEO de colecciones por CSV. Se editan una por una (SEO title, meta, imagen y descripción) o con ayuda de Claude Code o una app.</t>
  </si>
  <si>
    <t xml:space="preserve">4. Fusionar o redirigir colecciones: cree redirecciones 301 en Contenido → Navegación → Redirecciones de URL antes de borrar cualquier colección.</t>
  </si>
  <si>
    <t xml:space="preserve">5. Textos de categorías: pegue el texto introductorio en la descripción de la colección y las preguntas frecuentes en una sección de preguntas del tema.</t>
  </si>
  <si>
    <t xml:space="preserve">6. Imagen de 'Sierra para Desposte EFA 86': subirla en Shopify.</t>
  </si>
  <si>
    <t xml:space="preserve">Hojas del archivo</t>
  </si>
  <si>
    <t xml:space="preserve">Productos: título, SEO title, meta y alt propuestos para los 242 productos activos.</t>
  </si>
  <si>
    <t xml:space="preserve">Colecciones: acción recomendada, prioridad, SEO title y meta para cada colección.</t>
  </si>
  <si>
    <t xml:space="preserve">Textos categorías: H1, texto introductorio y una pregunta frecuente por colección principal.</t>
  </si>
  <si>
    <t xml:space="preserve">Palabras clave: propuesta de palabra clave principal y secundarias por colección.</t>
  </si>
  <si>
    <t xml:space="preserve">Importar a Shopify: columnas Handle, Title, SEO Title, SEO Description listas para CSV.</t>
  </si>
  <si>
    <t xml:space="preserve">Handle</t>
  </si>
  <si>
    <t xml:space="preserve">Marca</t>
  </si>
  <si>
    <t xml:space="preserve">Título actual en Shopify</t>
  </si>
  <si>
    <t xml:space="preserve">Título sugerido (H1)</t>
  </si>
  <si>
    <t xml:space="preserve">SEO title propuesto</t>
  </si>
  <si>
    <t xml:space="preserve">Largo SEO title</t>
  </si>
  <si>
    <t xml:space="preserve">Estado title (≤60)</t>
  </si>
  <si>
    <t xml:space="preserve">Meta description propuesta</t>
  </si>
  <si>
    <t xml:space="preserve">Largo meta</t>
  </si>
  <si>
    <t xml:space="preserve">Estado meta (120–155)</t>
  </si>
  <si>
    <t xml:space="preserve">Alt de imagen sugerido</t>
  </si>
  <si>
    <t xml:space="preserve">Notas / hallazgos</t>
  </si>
  <si>
    <t xml:space="preserve">horno-tipo-batch-mwb2260r-440-75</t>
  </si>
  <si>
    <t xml:space="preserve">Amtek</t>
  </si>
  <si>
    <t xml:space="preserve">HORNO TIPO BATCH MWB2260R-440-75</t>
  </si>
  <si>
    <t xml:space="preserve">Horno Tipo Batch MWB2260R-440-75 Amtek</t>
  </si>
  <si>
    <t xml:space="preserve">Horno Tipo Batch MWB2260R-440-75 Amtek | Technofood Colombia</t>
  </si>
  <si>
    <t xml:space="preserve">Horno Tipo Batch MWB2260R-440-75 Amtek: equipo industrial. Distribuidor autorizado en Colombia. Solicite su cotización con un asesor de Technofood.</t>
  </si>
  <si>
    <t xml:space="preserve">Horno Tipo Batch MWB2260R-440-75 Amtek – equipo industrial para la industria de alimentos</t>
  </si>
  <si>
    <t xml:space="preserve">Título en mayúsculas: se pasó a iniciales en mayúscula. Se agregó la marca al título (no la tenía).</t>
  </si>
  <si>
    <t xml:space="preserve">agente-abrillantador-backglanz-fix-fertig-100-vegetal</t>
  </si>
  <si>
    <t xml:space="preserve">Boyens</t>
  </si>
  <si>
    <t xml:space="preserve">Agente abrillantador BackGlanz fix &amp; fertig (100% vegetal)</t>
  </si>
  <si>
    <t xml:space="preserve">Agente Abrillantador BackGlanz Fix &amp; Fertig (100% Vegetal) Boyens</t>
  </si>
  <si>
    <t xml:space="preserve">Agente Abrillantador BackGlanz Fix &amp; Fertig | Boyens</t>
  </si>
  <si>
    <t xml:space="preserve">Agente Abrillantador BackGlanz Fix &amp; Fertig Boyens. Distribuidor autorizado en Colombia. Solicite su cotización con Technofood.</t>
  </si>
  <si>
    <t xml:space="preserve">Agente Abrillantador BackGlanz Fix &amp; Fertig (100% Vegetal) Boyens – insumo industrial para la industria de alimentos</t>
  </si>
  <si>
    <t xml:space="preserve">Se agregó la marca al título (no la tenía). SEO title y meta acortados a mano (el título completo es muy largo).</t>
  </si>
  <si>
    <t xml:space="preserve">cortadora-cws-300</t>
  </si>
  <si>
    <t xml:space="preserve">Grasselli</t>
  </si>
  <si>
    <t xml:space="preserve">CORTADORA CWS 300</t>
  </si>
  <si>
    <t xml:space="preserve">Cortadora CWS 300 Grasselli</t>
  </si>
  <si>
    <t xml:space="preserve">Cortadora CWS 300 Grasselli | Technofood Colombia</t>
  </si>
  <si>
    <t xml:space="preserve">Cortadora CWS 300 Grasselli: equipo industrial para la industria de alimentos. Distribuidor autorizado en Colombia. Solicite su cotización con Technofood.</t>
  </si>
  <si>
    <t xml:space="preserve">Cortadora CWS 300 Grasselli – equipo industrial para la industria de alimentos</t>
  </si>
  <si>
    <t xml:space="preserve">sistema-de-temperado-amt4412r-440-2x74</t>
  </si>
  <si>
    <t xml:space="preserve">SISTEMA DE TEMPERADO AMT4412R-440-2X74</t>
  </si>
  <si>
    <t xml:space="preserve">Sistema de Temperado AMT4412R-440-2X74 Amtek</t>
  </si>
  <si>
    <t xml:space="preserve">Sistema de Temperado AMT4412R-440-2X74 Amtek | Technofood</t>
  </si>
  <si>
    <t xml:space="preserve">Sistema de Temperado AMT4412R-440-2X74 Amtek: equipo industrial. Distribuidor autorizado en Colombia. Solicite su cotización con un asesor de Technofood.</t>
  </si>
  <si>
    <t xml:space="preserve">Sistema de Temperado AMT4412R-440-2X74 Amtek – equipo industrial para la industria de alimentos</t>
  </si>
  <si>
    <t xml:space="preserve">sistema-de-temperado-amt4412r-440-75</t>
  </si>
  <si>
    <t xml:space="preserve">SISTEMA DE TEMPERADO AMT4412R-440-75</t>
  </si>
  <si>
    <t xml:space="preserve">Sistema de Temperado AMT4412R-440-75 Amtek</t>
  </si>
  <si>
    <t xml:space="preserve">Sistema de Temperado AMT4412R-440-75 Amtek | Technofood</t>
  </si>
  <si>
    <t xml:space="preserve">Sistema de Temperado AMT4412R-440-75 Amtek: equipo industrial. Distribuidor autorizado en Colombia. Solicite su cotización con un asesor de Technofood.</t>
  </si>
  <si>
    <t xml:space="preserve">Sistema de Temperado AMT4412R-440-75 Amtek – equipo industrial para la industria de alimentos</t>
  </si>
  <si>
    <t xml:space="preserve">arandela-compacta-para-suela-y-empeines-550402m</t>
  </si>
  <si>
    <t xml:space="preserve">AWE</t>
  </si>
  <si>
    <t xml:space="preserve">ARANDELA COMPACTA PARA SUELA Y EMPEINES 550402M</t>
  </si>
  <si>
    <t xml:space="preserve">Arandela Compacta para Suela y Empeines 550402M AWE</t>
  </si>
  <si>
    <t xml:space="preserve">Arandela Compacta para Suela y Empeines 550402M AWE. Distribuidor autorizado en Colombia. Solicite su cotización con Technofood.</t>
  </si>
  <si>
    <t xml:space="preserve">Arandela Compacta para Suela y Empeines 550402M AWE – equipo industrial para la industria de alimentos</t>
  </si>
  <si>
    <t xml:space="preserve">Título en mayúsculas: se pasó a iniciales en mayúscula. Se agregó la marca al título (no la tenía). Verificar traducción: 'arandela' es una pieza metálica; el equipo es una lavadora de suelas y empeines.</t>
  </si>
  <si>
    <t xml:space="preserve">dispositivo-movil-de-desinfeccion-de-manos-spraybox-551801-nm</t>
  </si>
  <si>
    <t xml:space="preserve">DISPOSITIVO MÓVIL DE DESINFECCIÓN DE MANOS SPRAYBOX 551801 NM</t>
  </si>
  <si>
    <t xml:space="preserve">Dispositivo Móvil de Desinfección de Manos Spraybox 551801 NM AWE</t>
  </si>
  <si>
    <t xml:space="preserve">Desinfección de Manos Spraybox 551801 NM | AWE</t>
  </si>
  <si>
    <t xml:space="preserve">Dispositivo de Desinfección de Manos Spraybox 551801 NM AWE. Distribuidor autorizado en Colombia. Solicite su cotización con Technofood.</t>
  </si>
  <si>
    <t xml:space="preserve">Dispositivo Móvil de Desinfección de Manos Spraybox 551801 NM AWE – equipo industrial para la industria de alimentos</t>
  </si>
  <si>
    <t xml:space="preserve">Título en mayúsculas: se pasó a iniciales en mayúscula. Se agregó la marca al título (no la tenía). SEO title y meta acortados a mano (el título completo es muy largo).</t>
  </si>
  <si>
    <t xml:space="preserve">dispositivo-para-lavado-y-desinfeccion-de-manos-551301</t>
  </si>
  <si>
    <t xml:space="preserve">DISPOSITIVO PARA LAVADO Y DESINFECCIÓN DE MANOS 551301</t>
  </si>
  <si>
    <t xml:space="preserve">Dispositivo para Lavado y Desinfección de Manos 551301 AWE</t>
  </si>
  <si>
    <t xml:space="preserve">Dispositivo para Lavado y Desinfección de Manos 551301 AWE. Distribuidor autorizado en Colombia. Solicite su cotización con Technofood.</t>
  </si>
  <si>
    <t xml:space="preserve">Dispositivo para Lavado y Desinfección de Manos 551301 AWE – equipo industrial para la industria de alimentos</t>
  </si>
  <si>
    <t xml:space="preserve">estacion-de-acceso-para-higiene-de-manos-cleangate-551404</t>
  </si>
  <si>
    <t xml:space="preserve">ESTACIÓN DE ACCESO PARA HIGIENE DE MANOS CLEANGATE 551404</t>
  </si>
  <si>
    <t xml:space="preserve">Estación de Acceso para Higiene de Manos Cleangate 551404 AWE</t>
  </si>
  <si>
    <t xml:space="preserve">Estación Higiene de Manos Cleangate 551404 | AWE</t>
  </si>
  <si>
    <t xml:space="preserve">Estación de Higiene de Manos Cleangate 551404 AWE. Distribuidor autorizado en Colombia. Solicite su cotización con Technofood.</t>
  </si>
  <si>
    <t xml:space="preserve">Estación de Acceso para Higiene de Manos Cleangate 551404 AWE – equipo industrial para la industria de alimentos</t>
  </si>
  <si>
    <t xml:space="preserve">lavabo-higienico-con-secador-de-manos-tip-531201</t>
  </si>
  <si>
    <t xml:space="preserve">LAVABO HIGIÉNICO CON SECADOR DE MANOS TIP 531201</t>
  </si>
  <si>
    <t xml:space="preserve">Lavabo Higiénico con Secador de Manos TIP 531201 AWE</t>
  </si>
  <si>
    <t xml:space="preserve">Lavabo Higiénico con Secador de Manos TIP 531201 AWE. Distribuidor autorizado en Colombia. Solicite su cotización con Technofood.</t>
  </si>
  <si>
    <t xml:space="preserve">Lavabo Higiénico con Secador de Manos TIP 531201 AWE – equipo industrial para la industria de alimentos</t>
  </si>
  <si>
    <t xml:space="preserve">lavabo-higienico-mural-kleanox-531001b</t>
  </si>
  <si>
    <t xml:space="preserve">LAVABO HIGIÉNICO MURAL KLEANOX 531001B</t>
  </si>
  <si>
    <t xml:space="preserve">Lavabo Higiénico Mural Kleanox 531001B AWE</t>
  </si>
  <si>
    <t xml:space="preserve">Lavabo Higiénico Mural Kleanox 531001B AWE | Technofood</t>
  </si>
  <si>
    <t xml:space="preserve">Lavabo Higiénico Mural Kleanox 531001B AWE: equipo industrial. Distribuidor autorizado en Colombia. Solicite su cotización con un asesor de Technofood.</t>
  </si>
  <si>
    <t xml:space="preserve">Lavabo Higiénico Mural Kleanox 531001B AWE – equipo industrial para la industria de alimentos</t>
  </si>
  <si>
    <t xml:space="preserve">lavadora-de-calzado-manual-scrubo-pro-550102</t>
  </si>
  <si>
    <t xml:space="preserve">LAVADORA DE CALZADO MANUAL SCRUBO PRO 550102</t>
  </si>
  <si>
    <t xml:space="preserve">Lavadora de Calzado Manual Scrubo Pro 550102 AWE</t>
  </si>
  <si>
    <t xml:space="preserve">Lavadora de Calzado Manual Scrubo Pro 550102 AWE. Distribuidor autorizado en Colombia. Solicite su cotización con Technofood.</t>
  </si>
  <si>
    <t xml:space="preserve">Lavadora de Calzado Manual Scrubo Pro 550102 AWE – equipo industrial para la industria de alimentos</t>
  </si>
  <si>
    <t xml:space="preserve">lavadora-industrial-big-max</t>
  </si>
  <si>
    <t xml:space="preserve">LAVADORA INDUSTRIAL BIG MAX</t>
  </si>
  <si>
    <t xml:space="preserve">Lavadora Industrial Big Max AWE</t>
  </si>
  <si>
    <t xml:space="preserve">Lavadora Industrial Big Max AWE | Technofood Colombia</t>
  </si>
  <si>
    <t xml:space="preserve">Lavadora Industrial Big Max AWE: equipo industrial. Distribuidor autorizado en Colombia. Solicite su cotización con un asesor de Technofood.</t>
  </si>
  <si>
    <t xml:space="preserve">Lavadora Industrial Big Max AWE – equipo industrial para la industria de alimentos</t>
  </si>
  <si>
    <t xml:space="preserve">limpiador-de-suelas-de-zapatos-solematic-550201m</t>
  </si>
  <si>
    <t xml:space="preserve">LIMPIADOR DE SUELAS DE ZAPATOS SOLEMATIC 550201M</t>
  </si>
  <si>
    <t xml:space="preserve">Limpiador de Suelas de Zapatos Solematic 550201M AWE</t>
  </si>
  <si>
    <t xml:space="preserve">Limpiador de Suelas de Zapatos Solematic 550201M AWE. Distribuidor autorizado en Colombia. Solicite su cotización con Technofood.</t>
  </si>
  <si>
    <t xml:space="preserve">Limpiador de Suelas de Zapatos Solematic 550201M AWE – equipo industrial para la industria de alimentos</t>
  </si>
  <si>
    <t xml:space="preserve">limpiador-de-suelas-milkyway-55030-lt-f2</t>
  </si>
  <si>
    <t xml:space="preserve">LIMPIADOR DE SUELAS MILKYWAY 55030 LT-F2</t>
  </si>
  <si>
    <t xml:space="preserve">Limpiador de Suelas Milkyway 55030 LT-F2 AWE</t>
  </si>
  <si>
    <t xml:space="preserve">Limpiador de Suelas Milkyway 55030 LT-F2 AWE | Technofood</t>
  </si>
  <si>
    <t xml:space="preserve">Limpiador de Suelas Milkyway 55030 LT-F2 AWE: equipo industrial. Distribuidor autorizado en Colombia. Solicite su cotización con un asesor de Technofood.</t>
  </si>
  <si>
    <t xml:space="preserve">Limpiador de Suelas Milkyway 55030 LT-F2 AWE – equipo industrial para la industria de alimentos</t>
  </si>
  <si>
    <t xml:space="preserve">clasificadora-de-pollo-656</t>
  </si>
  <si>
    <t xml:space="preserve">Baader</t>
  </si>
  <si>
    <t xml:space="preserve">CLASIFICADORA DE POLLO 656</t>
  </si>
  <si>
    <t xml:space="preserve">Clasificadora de Pollo 656 Baader</t>
  </si>
  <si>
    <t xml:space="preserve">Clasificadora de Pollo 656 Baader | Technofood Colombia</t>
  </si>
  <si>
    <t xml:space="preserve">Clasificadora de Pollo 656 Baader: equipo industrial. Distribuidor autorizado en Colombia. Solicite su cotización con un asesor de Technofood.</t>
  </si>
  <si>
    <t xml:space="preserve">Clasificadora de Pollo 656 Baader – equipo industrial para la industria de alimentos</t>
  </si>
  <si>
    <t xml:space="preserve">Título en mayúsculas: se pasó a iniciales en mayúscula. Se agregó la marca al título (no la tenía). Verificar nombre: la descripción habla de deshuese de medias canales, no de clasificación.</t>
  </si>
  <si>
    <t xml:space="preserve">despieladora-baader-240</t>
  </si>
  <si>
    <t xml:space="preserve">DESPIELADORA BAADER 240</t>
  </si>
  <si>
    <t xml:space="preserve">Despieladora Baader 240</t>
  </si>
  <si>
    <t xml:space="preserve">Despieladora Baader 240 | Technofood Colombia</t>
  </si>
  <si>
    <t xml:space="preserve">Despieladora Baader 240: equipo industrial para la industria de alimentos. Distribuidor autorizado en Colombia. Solicite su cotización con Technofood.</t>
  </si>
  <si>
    <t xml:space="preserve">Despieladora Baader 240 – equipo industrial para la industria de alimentos</t>
  </si>
  <si>
    <t xml:space="preserve">Título en mayúsculas: se pasó a iniciales en mayúscula.</t>
  </si>
  <si>
    <t xml:space="preserve">desplumadora</t>
  </si>
  <si>
    <t xml:space="preserve">DESPLUMADORA</t>
  </si>
  <si>
    <t xml:space="preserve">Desplumadora Baader</t>
  </si>
  <si>
    <t xml:space="preserve">Desplumadora Baader | Technofood Colombia</t>
  </si>
  <si>
    <t xml:space="preserve">Desplumadora Baader: equipo industrial para la industria de alimentos. Distribuidor autorizado en Colombia. Solicite su cotización con Technofood.</t>
  </si>
  <si>
    <t xml:space="preserve">Desplumadora Baader – equipo industrial para la industria de alimentos</t>
  </si>
  <si>
    <t xml:space="preserve">Título en mayúsculas: se pasó a iniciales en mayúscula. Se agregó la marca al título (no la tenía). Título genérico: agregar modelo (la descripción parece indicar Baader 284; verificar).</t>
  </si>
  <si>
    <t xml:space="preserve">eviscerador-142</t>
  </si>
  <si>
    <t xml:space="preserve">EVISCERADOR 142</t>
  </si>
  <si>
    <t xml:space="preserve">Eviscerador 142 Baader</t>
  </si>
  <si>
    <t xml:space="preserve">Eviscerador 142 Baader | Technofood Colombia</t>
  </si>
  <si>
    <t xml:space="preserve">Eviscerador 142 Baader: equipo industrial para la industria de alimentos. Distribuidor autorizado en Colombia. Solicite su cotización con Technofood.</t>
  </si>
  <si>
    <t xml:space="preserve">Eviscerador 142 Baader – equipo industrial para la industria de alimentos</t>
  </si>
  <si>
    <t xml:space="preserve">cyclone-skynner</t>
  </si>
  <si>
    <t xml:space="preserve">Bettcher</t>
  </si>
  <si>
    <t xml:space="preserve">CYCLONE SKYNNER</t>
  </si>
  <si>
    <t xml:space="preserve">Cyclone Skynner Bettcher</t>
  </si>
  <si>
    <t xml:space="preserve">Cyclone Skynner Bettcher | Technofood Colombia</t>
  </si>
  <si>
    <t xml:space="preserve">Cyclone Skynner Bettcher: equipo industrial para la industria de alimentos. Distribuidor autorizado en Colombia. Solicite su cotización con Technofood.</t>
  </si>
  <si>
    <t xml:space="preserve">Cyclone Skynner Bettcher – equipo industrial para la industria de alimentos</t>
  </si>
  <si>
    <t xml:space="preserve">Título en mayúsculas: se pasó a iniciales en mayúscula. Se agregó la marca al título (no la tenía). Verificar escritura: el modelo del fabricante parece ser 'Skinner'. Si se corrige, crear redirección 301 del handle.</t>
  </si>
  <si>
    <t xml:space="preserve">empunadura-quantum-flex-grande</t>
  </si>
  <si>
    <t xml:space="preserve">EMPUÑADURA QUANTUM FLEX GRANDE</t>
  </si>
  <si>
    <t xml:space="preserve">Empuñadura Quantum Flex Grande Bettcher</t>
  </si>
  <si>
    <t xml:space="preserve">Empuñadura Quantum Flex Grande Bettcher | Technofood</t>
  </si>
  <si>
    <t xml:space="preserve">Empuñadura Quantum Flex Grande Bettcher: equipo industrial. Distribuidor autorizado en Colombia. Solicite su cotización con un asesor de Technofood.</t>
  </si>
  <si>
    <t xml:space="preserve">Empuñadura Quantum Flex Grande Bettcher – equipo industrial para la industria de alimentos</t>
  </si>
  <si>
    <t xml:space="preserve">empunadura-quantum-flex-mediana</t>
  </si>
  <si>
    <t xml:space="preserve">EMPUÑADURA QUANTUM FLEX MEDIANA</t>
  </si>
  <si>
    <t xml:space="preserve">Empuñadura Quantum Flex Mediana Bettcher</t>
  </si>
  <si>
    <t xml:space="preserve">Empuñadura Quantum Flex Mediana Bettcher | Technofood</t>
  </si>
  <si>
    <t xml:space="preserve">Empuñadura Quantum Flex Mediana Bettcher: equipo industrial. Distribuidor autorizado en Colombia. Solicite su cotización con un asesor de Technofood.</t>
  </si>
  <si>
    <t xml:space="preserve">Empuñadura Quantum Flex Mediana Bettcher – equipo industrial para la industria de alimentos</t>
  </si>
  <si>
    <t xml:space="preserve">empunadura-quantum-flex-pequena</t>
  </si>
  <si>
    <t xml:space="preserve">EMPUÑADURA QUANTUM FLEX PEQUEÑA</t>
  </si>
  <si>
    <t xml:space="preserve">Empuñadura Quantum Flex Pequeña Bettcher</t>
  </si>
  <si>
    <t xml:space="preserve">Empuñadura Quantum Flex Pequeña Bettcher | Technofood</t>
  </si>
  <si>
    <t xml:space="preserve">Empuñadura Quantum Flex Pequeña Bettcher: equipo industrial. Distribuidor autorizado en Colombia. Solicite su cotización con un asesor de Technofood.</t>
  </si>
  <si>
    <t xml:space="preserve">Empuñadura Quantum Flex Pequeña Bettcher – equipo industrial para la industria de alimentos</t>
  </si>
  <si>
    <t xml:space="preserve">motor-impulsor-universal-un-84</t>
  </si>
  <si>
    <t xml:space="preserve">MOTOR IMPULSOR UNIVERSAL UN 84</t>
  </si>
  <si>
    <t xml:space="preserve">Motor Impulsor Universal UN 84 Bettcher</t>
  </si>
  <si>
    <t xml:space="preserve">Motor Impulsor Universal UN 84 Bettcher | Technofood</t>
  </si>
  <si>
    <t xml:space="preserve">Motor Impulsor Universal UN 84 Bettcher: equipo industrial. Distribuidor autorizado en Colombia. Solicite su cotización con un asesor de Technofood.</t>
  </si>
  <si>
    <t xml:space="preserve">Motor Impulsor Universal UN 84 Bettcher – equipo industrial para la industria de alimentos</t>
  </si>
  <si>
    <t xml:space="preserve">motor-quantum</t>
  </si>
  <si>
    <t xml:space="preserve">MOTOR QUANTUM</t>
  </si>
  <si>
    <t xml:space="preserve">Motor Quantum Bettcher</t>
  </si>
  <si>
    <t xml:space="preserve">Motor Quantum Bettcher | Technofood Colombia</t>
  </si>
  <si>
    <t xml:space="preserve">Motor Quantum Bettcher: equipo industrial para la industria de alimentos. Distribuidor autorizado en Colombia. Solicite su cotización con Technofood.</t>
  </si>
  <si>
    <t xml:space="preserve">Motor Quantum Bettcher – equipo industrial para la industria de alimentos</t>
  </si>
  <si>
    <t xml:space="preserve">recortadora-whizard-versa</t>
  </si>
  <si>
    <t xml:space="preserve">RECORTADORA WHIZARD VERSA</t>
  </si>
  <si>
    <t xml:space="preserve">Recortadora Whizard Versa Bettcher</t>
  </si>
  <si>
    <t xml:space="preserve">Recortadora Whizard Versa Bettcher | Technofood Colombia</t>
  </si>
  <si>
    <t xml:space="preserve">Recortadora Whizard Versa Bettcher: equipo industrial. Distribuidor autorizado en Colombia. Solicite su cotización con un asesor de Technofood.</t>
  </si>
  <si>
    <t xml:space="preserve">Recortadora Whizard Versa Bettcher – equipo industrial para la industria de alimentos</t>
  </si>
  <si>
    <t xml:space="preserve">trimvac-flex-quantum</t>
  </si>
  <si>
    <t xml:space="preserve">TRIMVAC FLEX QUANTUM</t>
  </si>
  <si>
    <t xml:space="preserve">Trimvac Flex Quantum Bettcher</t>
  </si>
  <si>
    <t xml:space="preserve">Trimvac Flex Quantum Bettcher | Technofood Colombia</t>
  </si>
  <si>
    <t xml:space="preserve">Trimvac Flex Quantum Bettcher: equipo industrial. Distribuidor autorizado en Colombia. Solicite su cotización con un asesor de Technofood.</t>
  </si>
  <si>
    <t xml:space="preserve">Trimvac Flex Quantum Bettcher – equipo industrial para la industria de alimentos</t>
  </si>
  <si>
    <t xml:space="preserve">recortador-rectal-efa-202</t>
  </si>
  <si>
    <t xml:space="preserve">EFA</t>
  </si>
  <si>
    <t xml:space="preserve">RECORTADOR RECTAL EFA 202</t>
  </si>
  <si>
    <t xml:space="preserve">Recortador Rectal EFA 202</t>
  </si>
  <si>
    <t xml:space="preserve">Recortador Rectal EFA 202 | Technofood Colombia</t>
  </si>
  <si>
    <t xml:space="preserve">Recortador Rectal EFA 202: equipo industrial para la industria de alimentos. Distribuidor autorizado en Colombia. Solicite su cotización con Technofood.</t>
  </si>
  <si>
    <t xml:space="preserve">Recortador Rectal EFA 202 – equipo industrial para la industria de alimentos</t>
  </si>
  <si>
    <t xml:space="preserve">recortadora-efa-90d</t>
  </si>
  <si>
    <t xml:space="preserve">RECORTADORA EFA 90D</t>
  </si>
  <si>
    <t xml:space="preserve">Recortadora EFA 90D</t>
  </si>
  <si>
    <t xml:space="preserve">Recortadora EFA 90D | Technofood Colombia</t>
  </si>
  <si>
    <t xml:space="preserve">Recortadora EFA 90D: equipo industrial para la industria de alimentos. Distribuidor autorizado en Colombia. Solicite su cotización con Technofood.</t>
  </si>
  <si>
    <t xml:space="preserve">Recortadora EFA 90D – equipo industrial para la industria de alimentos</t>
  </si>
  <si>
    <t xml:space="preserve">sierra-bisectriz-efa-sb-327-e</t>
  </si>
  <si>
    <t xml:space="preserve">SIERRA BISECTRIZ EFA SB 327 E</t>
  </si>
  <si>
    <t xml:space="preserve">Sierra Bisectriz EFA SB 327 e</t>
  </si>
  <si>
    <t xml:space="preserve">Sierra Bisectriz EFA SB 327 e | Technofood Colombia</t>
  </si>
  <si>
    <t xml:space="preserve">Sierra Bisectriz EFA SB 327 e: equipo industrial. Distribuidor autorizado en Colombia. Solicite su cotización con un asesor de Technofood.</t>
  </si>
  <si>
    <t xml:space="preserve">Sierra Bisectriz EFA SB 327 e – equipo industrial para la industria de alimentos</t>
  </si>
  <si>
    <t xml:space="preserve">sierra-para-desposte-efa-86</t>
  </si>
  <si>
    <t xml:space="preserve">SIERRA PARA DESPOSTE EFA 86</t>
  </si>
  <si>
    <t xml:space="preserve">Sierra para Desposte EFA 86</t>
  </si>
  <si>
    <t xml:space="preserve">Sierra para Desposte EFA 86 | Technofood Colombia</t>
  </si>
  <si>
    <t xml:space="preserve">Sierra para Desposte EFA 86: equipo industrial para la industria de alimentos. Distribuidor autorizado en Colombia. Solicite su cotización con Technofood.</t>
  </si>
  <si>
    <t xml:space="preserve">Sierra para Desposte EFA 86 – equipo industrial para la industria de alimentos</t>
  </si>
  <si>
    <t xml:space="preserve">Título en mayúsculas: se pasó a iniciales en mayúscula. SIN IMAGEN: subir foto del producto.</t>
  </si>
  <si>
    <t xml:space="preserve">sierra-para-hueso-efa-sk-16-8-d</t>
  </si>
  <si>
    <t xml:space="preserve">SIERRA PARA HUESO EFA SK 16-8 D</t>
  </si>
  <si>
    <t xml:space="preserve">Sierra para Hueso EFA SK 16-8 D</t>
  </si>
  <si>
    <t xml:space="preserve">Sierra para Hueso EFA SK 16-8 D | Technofood Colombia</t>
  </si>
  <si>
    <t xml:space="preserve">Sierra para Hueso EFA SK 16-8 D: equipo industrial. Distribuidor autorizado en Colombia. Solicite su cotización con un asesor de Technofood.</t>
  </si>
  <si>
    <t xml:space="preserve">Sierra para Hueso EFA SK 16-8 D – equipo industrial para la industria de alimentos</t>
  </si>
  <si>
    <t xml:space="preserve">etiquetadora-automatica-peso-precio-nova-es-b</t>
  </si>
  <si>
    <t xml:space="preserve">Espera</t>
  </si>
  <si>
    <t xml:space="preserve">ETIQUETADORA AUTOMÁTICA PESO PRECIO NOVA ES-B</t>
  </si>
  <si>
    <t xml:space="preserve">Etiquetadora Automática Peso Precio Nova ES-B Espera</t>
  </si>
  <si>
    <t xml:space="preserve">Etiquetadora Automática Peso Precio Nova ES-B Espera. Distribuidor autorizado en Colombia. Solicite su cotización con Technofood.</t>
  </si>
  <si>
    <t xml:space="preserve">Etiquetadora Automática Peso Precio Nova ES-B Espera – equipo industrial para la industria de alimentos</t>
  </si>
  <si>
    <t xml:space="preserve">etiquetadora-automatica-peso-precio-nova-es-r</t>
  </si>
  <si>
    <t xml:space="preserve">ETIQUETADORA AUTOMÁTICA PESO PRECIO NOVA ES-R</t>
  </si>
  <si>
    <t xml:space="preserve">Etiquetadora Automática Peso Precio Nova ES-R Espera</t>
  </si>
  <si>
    <t xml:space="preserve">Etiquetadora Automática Peso Precio Nova ES-R Espera. Distribuidor autorizado en Colombia. Solicite su cotización con Technofood.</t>
  </si>
  <si>
    <t xml:space="preserve">Etiquetadora Automática Peso Precio Nova ES-R Espera – equipo industrial para la industria de alimentos</t>
  </si>
  <si>
    <t xml:space="preserve">etiquetadora-peso-precio-es-5901</t>
  </si>
  <si>
    <t xml:space="preserve">ETIQUETADORA PESO PRECIO ES 5901</t>
  </si>
  <si>
    <t xml:space="preserve">Etiquetadora Peso Precio Es 5901 Espera</t>
  </si>
  <si>
    <t xml:space="preserve">Etiquetadora Peso Precio Es 5901 Espera | Technofood</t>
  </si>
  <si>
    <t xml:space="preserve">Etiquetadora Peso Precio Es 5901 Espera: equipo industrial. Distribuidor autorizado en Colombia. Solicite su cotización con un asesor de Technofood.</t>
  </si>
  <si>
    <t xml:space="preserve">Etiquetadora Peso Precio Es 5901 Espera – equipo industrial para la industria de alimentos</t>
  </si>
  <si>
    <t xml:space="preserve">sistema-de-etiquetado-automatico-peso-precio-nova-es-e</t>
  </si>
  <si>
    <t xml:space="preserve">SISTEMA DE ETIQUETADO AUTOMÁTICO PESO PRECIO NOVA ES-E</t>
  </si>
  <si>
    <t xml:space="preserve">Sistema de Etiquetado Automático Peso Precio Nova ES-E Espera</t>
  </si>
  <si>
    <t xml:space="preserve">Etiquetado Peso Precio Nova ES-E | Espera</t>
  </si>
  <si>
    <t xml:space="preserve">Sistema de Etiquetado Peso Precio Nova ES-E Espera. Distribuidor autorizado en Colombia. Solicite su cotización con Technofood.</t>
  </si>
  <si>
    <t xml:space="preserve">Sistema de Etiquetado Automático Peso Precio Nova ES-E Espera – equipo industrial para la industria de alimentos</t>
  </si>
  <si>
    <t xml:space="preserve">cortadora-de-salchichas-ws-420</t>
  </si>
  <si>
    <t xml:space="preserve">Frey</t>
  </si>
  <si>
    <t xml:space="preserve">CORTADORA DE SALCHICHAS WS 420</t>
  </si>
  <si>
    <t xml:space="preserve">Cortadora de Salchichas WS 420 Frey</t>
  </si>
  <si>
    <t xml:space="preserve">Cortadora de Salchichas WS 420 Frey | Technofood Colombia</t>
  </si>
  <si>
    <t xml:space="preserve">Cortadora de Salchichas WS 420 Frey: equipo industrial. Distribuidor autorizado en Colombia. Solicite su cotización con un asesor de Technofood.</t>
  </si>
  <si>
    <t xml:space="preserve">Cortadora de Salchichas WS 420 Frey – equipo industrial para la industria de alimentos</t>
  </si>
  <si>
    <t xml:space="preserve">dosificador-kk500</t>
  </si>
  <si>
    <t xml:space="preserve">DOSIFICADOR KK500</t>
  </si>
  <si>
    <t xml:space="preserve">Dosificador KK500 Frey</t>
  </si>
  <si>
    <t xml:space="preserve">Dosificador KK500 Frey | Technofood Colombia</t>
  </si>
  <si>
    <t xml:space="preserve">Dosificador KK500 Frey: equipo industrial para la industria de alimentos. Distribuidor autorizado en Colombia. Solicite su cotización con Technofood.</t>
  </si>
  <si>
    <t xml:space="preserve">Dosificador KK500 Frey – equipo industrial para la industria de alimentos</t>
  </si>
  <si>
    <t xml:space="preserve">embutidora-al-vacio-f-line-f222</t>
  </si>
  <si>
    <t xml:space="preserve">EMBUTIDORA AL VACÍO F-LINE F222</t>
  </si>
  <si>
    <t xml:space="preserve">Embutidora al Vacío F-Line F222 Frey</t>
  </si>
  <si>
    <t xml:space="preserve">Embutidora al Vacío F-Line F222 Frey | Technofood Colombia</t>
  </si>
  <si>
    <t xml:space="preserve">Embutidora al Vacío F-Line F222 Frey: equipo industrial. Distribuidor autorizado en Colombia. Solicite su cotización con un asesor de Technofood.</t>
  </si>
  <si>
    <t xml:space="preserve">Embutidora al Vacío F-Line F222 Frey – equipo industrial para la industria de alimentos</t>
  </si>
  <si>
    <t xml:space="preserve">embutidora-al-vacio-f-line-f266</t>
  </si>
  <si>
    <t xml:space="preserve">EMBUTIDORA AL VACÍO F-LINE F266</t>
  </si>
  <si>
    <t xml:space="preserve">Embutidora al Vacío F-Line F266 Frey</t>
  </si>
  <si>
    <t xml:space="preserve">Embutidora al Vacío F-Line F266 Frey | Technofood Colombia</t>
  </si>
  <si>
    <t xml:space="preserve">Embutidora al Vacío F-Line F266 Frey: equipo industrial. Distribuidor autorizado en Colombia. Solicite su cotización con un asesor de Technofood.</t>
  </si>
  <si>
    <t xml:space="preserve">Embutidora al Vacío F-Line F266 Frey – equipo industrial para la industria de alimentos</t>
  </si>
  <si>
    <t xml:space="preserve">embutidora-al-vacio-f-line-f60</t>
  </si>
  <si>
    <t xml:space="preserve">EMBUTIDORA AL VACÍO F-LINE F60</t>
  </si>
  <si>
    <t xml:space="preserve">Embutidora al Vacío F-Line F60 Frey</t>
  </si>
  <si>
    <t xml:space="preserve">Embutidora al Vacío F-Line F60 Frey | Technofood Colombia</t>
  </si>
  <si>
    <t xml:space="preserve">Embutidora al Vacío F-Line F60 Frey: equipo industrial. Distribuidor autorizado en Colombia. Solicite su cotización con un asesor de Technofood.</t>
  </si>
  <si>
    <t xml:space="preserve">Embutidora al Vacío F-Line F60 Frey – equipo industrial para la industria de alimentos</t>
  </si>
  <si>
    <t xml:space="preserve">empanizadora-automatica-mod-compact</t>
  </si>
  <si>
    <t xml:space="preserve">Gaser</t>
  </si>
  <si>
    <t xml:space="preserve">EMPANIZADORA AUTOMÁTICA MOD. COMPACT</t>
  </si>
  <si>
    <t xml:space="preserve">Empanizadora Automática Mod. Compact Gaser</t>
  </si>
  <si>
    <t xml:space="preserve">Empanizadora Automática Mod. Compact Gaser | Technofood</t>
  </si>
  <si>
    <t xml:space="preserve">Empanizadora Automática Mod. Compact Gaser: equipo industrial. Distribuidor autorizado en Colombia. Solicite su cotización con un asesor de Technofood.</t>
  </si>
  <si>
    <t xml:space="preserve">Empanizadora Automática Mod. Compact Gaser – equipo industrial para la industria de alimentos</t>
  </si>
  <si>
    <t xml:space="preserve">formadora-automatica-de-hamburguesas-mod-v-3000-cp</t>
  </si>
  <si>
    <t xml:space="preserve">FORMADORA AUTOMÁTICA DE HAMBURGUESAS MOD. V-3000 CP</t>
  </si>
  <si>
    <t xml:space="preserve">Formadora Automática de Hamburguesas Mod. V-3000 CP Gaser</t>
  </si>
  <si>
    <t xml:space="preserve">Formadora Automática de Hamburguesas Mod. V-3000 CP Gaser. Distribuidor autorizado en Colombia. Solicite su cotización con Technofood.</t>
  </si>
  <si>
    <t xml:space="preserve">Formadora Automática de Hamburguesas Mod. V-3000 CP Gaser – equipo industrial para la industria de alimentos</t>
  </si>
  <si>
    <t xml:space="preserve">descortezadora-ms520</t>
  </si>
  <si>
    <t xml:space="preserve">DESCORTEZADORA MS520</t>
  </si>
  <si>
    <t xml:space="preserve">Descortezadora MS520 Grasselli</t>
  </si>
  <si>
    <t xml:space="preserve">Descortezadora MS520 Grasselli | Technofood Colombia</t>
  </si>
  <si>
    <t xml:space="preserve">Descortezadora MS520 Grasselli: equipo industrial. Distribuidor autorizado en Colombia. Solicite su cotización con un asesor de Technofood.</t>
  </si>
  <si>
    <t xml:space="preserve">Descortezadora MS520 Grasselli – equipo industrial para la industria de alimentos</t>
  </si>
  <si>
    <t xml:space="preserve">descortezadora-nab520</t>
  </si>
  <si>
    <t xml:space="preserve">DESCORTEZADORA NAB520</t>
  </si>
  <si>
    <t xml:space="preserve">Descortezadora NAB520 Grasselli</t>
  </si>
  <si>
    <t xml:space="preserve">Descortezadora NAB520 Grasselli | Technofood Colombia</t>
  </si>
  <si>
    <t xml:space="preserve">Descortezadora NAB520 Grasselli: equipo industrial. Distribuidor autorizado en Colombia. Solicite su cotización con un asesor de Technofood.</t>
  </si>
  <si>
    <t xml:space="preserve">Descortezadora NAB520 Grasselli – equipo industrial para la industria de alimentos</t>
  </si>
  <si>
    <t xml:space="preserve">fileteadora-horizontal-ksl</t>
  </si>
  <si>
    <t xml:space="preserve">FILETEADORA HORIZONTAL KSL</t>
  </si>
  <si>
    <t xml:space="preserve">Fileteadora Horizontal KSL Grasselli</t>
  </si>
  <si>
    <t xml:space="preserve">Fileteadora Horizontal KSL Grasselli | Technofood Colombia</t>
  </si>
  <si>
    <t xml:space="preserve">Fileteadora Horizontal KSL Grasselli: equipo industrial. Distribuidor autorizado en Colombia. Solicite su cotización con un asesor de Technofood.</t>
  </si>
  <si>
    <t xml:space="preserve">Fileteadora Horizontal KSL Grasselli – equipo industrial para la industria de alimentos</t>
  </si>
  <si>
    <t xml:space="preserve">cortadora-de-queso-cheesixx</t>
  </si>
  <si>
    <t xml:space="preserve">Holac</t>
  </si>
  <si>
    <t xml:space="preserve">CORTADORA DE QUESO CHEESIXX</t>
  </si>
  <si>
    <t xml:space="preserve">Cortadora de Queso Cheesixx Holac</t>
  </si>
  <si>
    <t xml:space="preserve">Cortadora de Queso Cheesixx Holac | Technofood Colombia</t>
  </si>
  <si>
    <t xml:space="preserve">Cortadora de Queso Cheesixx Holac: equipo industrial. Distribuidor autorizado en Colombia. Solicite su cotización con un asesor de Technofood.</t>
  </si>
  <si>
    <t xml:space="preserve">Cortadora de Queso Cheesixx Holac – equipo industrial para la industria de alimentos</t>
  </si>
  <si>
    <t xml:space="preserve">cubicadora-cubixx-100</t>
  </si>
  <si>
    <t xml:space="preserve">CUBICADORA CUBIXX 100</t>
  </si>
  <si>
    <t xml:space="preserve">Cubicadora Cubixx 100 Holac</t>
  </si>
  <si>
    <t xml:space="preserve">Cubicadora Cubixx 100 Holac | Technofood Colombia</t>
  </si>
  <si>
    <t xml:space="preserve">Cubicadora Cubixx 100 Holac: equipo industrial para la industria de alimentos. Distribuidor autorizado en Colombia. Solicite su cotización con Technofood.</t>
  </si>
  <si>
    <t xml:space="preserve">Cubicadora Cubixx 100 Holac – equipo industrial para la industria de alimentos</t>
  </si>
  <si>
    <t xml:space="preserve">rebanadora-sect-230</t>
  </si>
  <si>
    <t xml:space="preserve">REBANADORA SECT 230</t>
  </si>
  <si>
    <t xml:space="preserve">Rebanadora Sect 230 Holac</t>
  </si>
  <si>
    <t xml:space="preserve">Rebanadora Sect 230 Holac | Technofood Colombia</t>
  </si>
  <si>
    <t xml:space="preserve">Rebanadora Sect 230 Holac: equipo industrial para la industria de alimentos. Distribuidor autorizado en Colombia. Solicite su cotización con Technofood.</t>
  </si>
  <si>
    <t xml:space="preserve">Rebanadora Sect 230 Holac – equipo industrial para la industria de alimentos</t>
  </si>
  <si>
    <t xml:space="preserve">carrete-de-clips-para-embutidos</t>
  </si>
  <si>
    <t xml:space="preserve">International Clip</t>
  </si>
  <si>
    <t xml:space="preserve">CARRETE DE CLIPS PARA EMBUTIDOS</t>
  </si>
  <si>
    <t xml:space="preserve">Carrete de Clips para Embutidos International Clip</t>
  </si>
  <si>
    <t xml:space="preserve">Carrete de Clips para Embutidos International Clip. Distribuidor autorizado en Colombia. Solicite su cotización con Technofood.</t>
  </si>
  <si>
    <t xml:space="preserve">Carrete de Clips para Embutidos International Clip – insumo industrial para la industria de alimentos</t>
  </si>
  <si>
    <t xml:space="preserve">clipadora-ic-18-15</t>
  </si>
  <si>
    <t xml:space="preserve">CLIPADORA IC 18-15</t>
  </si>
  <si>
    <t xml:space="preserve">Clipadora IC 18-15 International Clip</t>
  </si>
  <si>
    <t xml:space="preserve">Clipadora IC 18-15 International Clip | Technofood Colombia</t>
  </si>
  <si>
    <t xml:space="preserve">Clipadora IC 18-15 International Clip: equipo industrial. Distribuidor autorizado en Colombia. Solicite su cotización con un asesor de Technofood.</t>
  </si>
  <si>
    <t xml:space="preserve">Clipadora IC 18-15 International Clip – equipo industrial para la industria de alimentos</t>
  </si>
  <si>
    <t xml:space="preserve">clipadora-individual-de-bancada-ic-700s</t>
  </si>
  <si>
    <t xml:space="preserve">CLIPADORA INDIVIDUAL DE BANCADA IC 700S</t>
  </si>
  <si>
    <t xml:space="preserve">Clipadora Individual de Bancada IC 700S International Clip</t>
  </si>
  <si>
    <t xml:space="preserve">Clipadora Individual de Bancada IC 700S International Clip. Distribuidor autorizado en Colombia. Solicite su cotización con Technofood.</t>
  </si>
  <si>
    <t xml:space="preserve">Clipadora Individual de Bancada IC 700S International Clip – equipo industrial para la industria de alimentos</t>
  </si>
  <si>
    <t xml:space="preserve">clips-en-forma-de-s</t>
  </si>
  <si>
    <t xml:space="preserve">CLIPS EN FORMA DE S</t>
  </si>
  <si>
    <t xml:space="preserve">Clips en Forma de S International Clip</t>
  </si>
  <si>
    <t xml:space="preserve">Clips en Forma de S International Clip | Technofood Colombia</t>
  </si>
  <si>
    <t xml:space="preserve">Clips en Forma de S International Clip: insumo industrial. Distribuidor autorizado en Colombia. Solicite su cotización con un asesor de Technofood.</t>
  </si>
  <si>
    <t xml:space="preserve">Clips en Forma de S International Clip – insumo industrial para la industria de alimentos</t>
  </si>
  <si>
    <t xml:space="preserve">maquina-de-envasado-al-vacio-de-camara-sencilla-j-v006w</t>
  </si>
  <si>
    <t xml:space="preserve">Jaw Feng</t>
  </si>
  <si>
    <t xml:space="preserve">MÁQUINA DE ENVASADO AL VACÍO DE CÁMARA SENCILLA J-V006W</t>
  </si>
  <si>
    <t xml:space="preserve">Máquina de Envasado al Vacío de Cámara Sencilla J-V006W Jaw Feng</t>
  </si>
  <si>
    <t xml:space="preserve">Envasadora al Vacío Cámara Sencilla J-V006W | Jaw Feng</t>
  </si>
  <si>
    <t xml:space="preserve">Envasadora al Vacío de Cámara Sencilla J-V006W Jaw Feng. Distribuidor autorizado en Colombia. Solicite su cotización con Technofood.</t>
  </si>
  <si>
    <t xml:space="preserve">Máquina de Envasado al Vacío de Cámara Sencilla J-V006W Jaw Feng – equipo industrial para la industria de alimentos</t>
  </si>
  <si>
    <t xml:space="preserve">maquina-de-envasado-al-vacio-de-doble-camara-automatica-j-v013a</t>
  </si>
  <si>
    <t xml:space="preserve">MÁQUINA DE ENVASADO AL VACÍO DE DOBLE CÁMARA AUTOMÁTICA J-V013A</t>
  </si>
  <si>
    <t xml:space="preserve">Máquina de Envasado al Vacío de Doble Cámara Automática J-V013A Jaw Feng</t>
  </si>
  <si>
    <t xml:space="preserve">Envasadora al Vacío Doble Cámara J-V013A | Jaw Feng</t>
  </si>
  <si>
    <t xml:space="preserve">Envasadora al Vacío de Doble Cámara J-V013A Jaw Feng. Distribuidor autorizado en Colombia. Solicite su cotización con Technofood.</t>
  </si>
  <si>
    <t xml:space="preserve">Máquina de Envasado al Vacío de Doble Cámara Automática J-V013A Jaw Feng – equipo industrial para la industria de alimentos</t>
  </si>
  <si>
    <t xml:space="preserve">maquina-de-envasado-al-vacio-de-sobremesa-j-v002</t>
  </si>
  <si>
    <t xml:space="preserve">MÁQUINA DE ENVASADO AL VACÍO DE SOBREMESA J-V002</t>
  </si>
  <si>
    <t xml:space="preserve">Máquina de Envasado al Vacío de Sobremesa J-V002 Jaw Feng</t>
  </si>
  <si>
    <t xml:space="preserve">Máquina de Envasado al Vacío de Sobremesa J-V002 Jaw Feng. Distribuidor autorizado en Colombia. Solicite su cotización con Technofood.</t>
  </si>
  <si>
    <t xml:space="preserve">Máquina de Envasado al Vacío de Sobremesa J-V002 Jaw Feng – equipo industrial para la industria de alimentos</t>
  </si>
  <si>
    <t xml:space="preserve">termoselladora-de-bandejas-semiautomatica-con-vacio-y-envasado-a-gas-j-v053a</t>
  </si>
  <si>
    <t xml:space="preserve">TERMOSELLADORA DE BANDEJAS SEMIAUTOMÁTICA CON VACÍO Y ENVASADO A GAS J-V053A</t>
  </si>
  <si>
    <t xml:space="preserve">Termoselladora de Bandejas Semiautomática con Vacío y Envasado a Gas J-V053A Jaw Feng</t>
  </si>
  <si>
    <t xml:space="preserve">Termoselladora de Bandejas J-V053A | Jaw Feng</t>
  </si>
  <si>
    <t xml:space="preserve">Termoselladora de Bandejas J-V053A Jaw Feng: insumo industrial. Distribuidor autorizado en Colombia. Solicite su cotización con un asesor de Technofood.</t>
  </si>
  <si>
    <t xml:space="preserve">Termoselladora de Bandejas Semiautomática con Vacío y Envasado a Gas J-V053A Jaw Feng – insumo industrial para la industria de alimentos</t>
  </si>
  <si>
    <t xml:space="preserve">separador-de-carne-y-hueso-gama-s</t>
  </si>
  <si>
    <t xml:space="preserve">Lima</t>
  </si>
  <si>
    <t xml:space="preserve">SEPARADOR DE CARNE Y HUESO GAMA S</t>
  </si>
  <si>
    <t xml:space="preserve">Separador de Carne y Hueso Gama S Lima</t>
  </si>
  <si>
    <t xml:space="preserve">Separador de Carne y Hueso Gama S Lima | Technofood Colombia</t>
  </si>
  <si>
    <t xml:space="preserve">Separador de Carne y Hueso Gama S Lima: equipo industrial. Distribuidor autorizado en Colombia. Solicite su cotización con un asesor de Technofood.</t>
  </si>
  <si>
    <t xml:space="preserve">Separador de Carne y Hueso Gama S Lima – equipo industrial para la industria de alimentos</t>
  </si>
  <si>
    <t xml:space="preserve">separador-de-carne-y-hueso-rm-390s</t>
  </si>
  <si>
    <t xml:space="preserve">SEPARADOR DE CARNE Y HUESO RM 390S</t>
  </si>
  <si>
    <t xml:space="preserve">Separador de Carne y Hueso Rm 390S Lima</t>
  </si>
  <si>
    <t xml:space="preserve">Separador de Carne y Hueso Rm 390S Lima | Technofood</t>
  </si>
  <si>
    <t xml:space="preserve">Separador de Carne y Hueso Rm 390S Lima: equipo industrial. Distribuidor autorizado en Colombia. Solicite su cotización con un asesor de Technofood.</t>
  </si>
  <si>
    <t xml:space="preserve">Separador de Carne y Hueso Rm 390S Lima – equipo industrial para la industria de alimentos</t>
  </si>
  <si>
    <t xml:space="preserve">separador-de-carne-y-hueso-rm-90s</t>
  </si>
  <si>
    <t xml:space="preserve">SEPARADOR DE CARNE Y HUESO RM 90S</t>
  </si>
  <si>
    <t xml:space="preserve">Separador de Carne y Hueso Rm 90S Lima</t>
  </si>
  <si>
    <t xml:space="preserve">Separador de Carne y Hueso Rm 90S Lima | Technofood Colombia</t>
  </si>
  <si>
    <t xml:space="preserve">Separador de Carne y Hueso Rm 90S Lima: equipo industrial. Distribuidor autorizado en Colombia. Solicite su cotización con un asesor de Technofood.</t>
  </si>
  <si>
    <t xml:space="preserve">Separador de Carne y Hueso Rm 90S Lima – equipo industrial para la industria de alimentos</t>
  </si>
  <si>
    <t xml:space="preserve">inyectora-de-salmuera-hpi-450</t>
  </si>
  <si>
    <t xml:space="preserve">Maku</t>
  </si>
  <si>
    <t xml:space="preserve">INYECTORA DE SALMUERA HPI 450</t>
  </si>
  <si>
    <t xml:space="preserve">Inyectora de Salmuera Hpi 450 Maku</t>
  </si>
  <si>
    <t xml:space="preserve">Inyectora de Salmuera Hpi 450 Maku | Technofood Colombia</t>
  </si>
  <si>
    <t xml:space="preserve">Inyectora de Salmuera Hpi 450 Maku: equipo industrial. Distribuidor autorizado en Colombia. Solicite su cotización con un asesor de Technofood.</t>
  </si>
  <si>
    <t xml:space="preserve">Inyectora de Salmuera Hpi 450 Maku – equipo industrial para la industria de alimentos</t>
  </si>
  <si>
    <t xml:space="preserve">mezcladora-de-salmuera-hvm</t>
  </si>
  <si>
    <t xml:space="preserve">MEZCLADORA DE SALMUERA HVM</t>
  </si>
  <si>
    <t xml:space="preserve">Mezcladora de Salmuera HVM Maku</t>
  </si>
  <si>
    <t xml:space="preserve">Mezcladora de Salmuera HVM Maku | Technofood Colombia</t>
  </si>
  <si>
    <t xml:space="preserve">Mezcladora de Salmuera HVM Maku: equipo industrial. Distribuidor autorizado en Colombia. Solicite su cotización con un asesor de Technofood.</t>
  </si>
  <si>
    <t xml:space="preserve">Mezcladora de Salmuera HVM Maku – equipo industrial para la industria de alimentos</t>
  </si>
  <si>
    <t xml:space="preserve">tumbler-serie-b</t>
  </si>
  <si>
    <t xml:space="preserve">TUMBLER SERIE B</t>
  </si>
  <si>
    <t xml:space="preserve">Tumbler Serie B Maku</t>
  </si>
  <si>
    <t xml:space="preserve">Tumbler Serie B Maku | Technofood Colombia</t>
  </si>
  <si>
    <t xml:space="preserve">Tumbler Serie B Maku: equipo industrial para la industria de alimentos. Distribuidor autorizado en Colombia. Solicite su cotización con Technofood.</t>
  </si>
  <si>
    <t xml:space="preserve">Tumbler Serie B Maku – equipo industrial para la industria de alimentos</t>
  </si>
  <si>
    <t xml:space="preserve">tumbler-serie-r</t>
  </si>
  <si>
    <t xml:space="preserve">TUMBLER SERIE R</t>
  </si>
  <si>
    <t xml:space="preserve">Tumbler Serie R Maku</t>
  </si>
  <si>
    <t xml:space="preserve">Tumbler Serie R Maku | Technofood Colombia</t>
  </si>
  <si>
    <t xml:space="preserve">Tumbler Serie R Maku: equipo industrial para la industria de alimentos. Distribuidor autorizado en Colombia. Solicite su cotización con Technofood.</t>
  </si>
  <si>
    <t xml:space="preserve">Tumbler Serie R Maku – equipo industrial para la industria de alimentos</t>
  </si>
  <si>
    <t xml:space="preserve">tumbler-tipo-cvm</t>
  </si>
  <si>
    <t xml:space="preserve">TUMBLER TIPO CVM</t>
  </si>
  <si>
    <t xml:space="preserve">Tumbler Tipo CVM Maku</t>
  </si>
  <si>
    <t xml:space="preserve">Tumbler Tipo CVM Maku | Technofood Colombia</t>
  </si>
  <si>
    <t xml:space="preserve">Tumbler Tipo CVM Maku: equipo industrial para la industria de alimentos. Distribuidor autorizado en Colombia. Solicite su cotización con Technofood.</t>
  </si>
  <si>
    <t xml:space="preserve">Tumbler Tipo CVM Maku – equipo industrial para la industria de alimentos</t>
  </si>
  <si>
    <t xml:space="preserve">empacadora-flow-pack-cibeles</t>
  </si>
  <si>
    <t xml:space="preserve">Mayma</t>
  </si>
  <si>
    <t xml:space="preserve">EMPACADORA FLOW PACK CIBELES</t>
  </si>
  <si>
    <t xml:space="preserve">Empacadora Flow Pack Cibeles Mayma</t>
  </si>
  <si>
    <t xml:space="preserve">Empacadora Flow Pack Cibeles Mayma | Technofood Colombia</t>
  </si>
  <si>
    <t xml:space="preserve">Empacadora Flow Pack Cibeles Mayma: equipo industrial. Distribuidor autorizado en Colombia. Solicite su cotización con un asesor de Technofood.</t>
  </si>
  <si>
    <t xml:space="preserve">Empacadora Flow Pack Cibeles Mayma – equipo industrial para la industria de alimentos</t>
  </si>
  <si>
    <t xml:space="preserve">empacadora-flow-pack-lepanto</t>
  </si>
  <si>
    <t xml:space="preserve">EMPACADORA FLOW PACK LEPANTO</t>
  </si>
  <si>
    <t xml:space="preserve">Empacadora Flow Pack Lepanto Mayma</t>
  </si>
  <si>
    <t xml:space="preserve">Empacadora Flow Pack Lepanto Mayma | Technofood Colombia</t>
  </si>
  <si>
    <t xml:space="preserve">Empacadora Flow Pack Lepanto Mayma: equipo industrial. Distribuidor autorizado en Colombia. Solicite su cotización con un asesor de Technofood.</t>
  </si>
  <si>
    <t xml:space="preserve">Empacadora Flow Pack Lepanto Mayma – equipo industrial para la industria de alimentos</t>
  </si>
  <si>
    <t xml:space="preserve">bomba-de-transporte</t>
  </si>
  <si>
    <t xml:space="preserve">Oestergaard</t>
  </si>
  <si>
    <t xml:space="preserve">BOMBA DE TRANSPORTE</t>
  </si>
  <si>
    <t xml:space="preserve">Bomba de Transporte Oestergaard</t>
  </si>
  <si>
    <t xml:space="preserve">Bomba de Transporte Oestergaard | Technofood Colombia</t>
  </si>
  <si>
    <t xml:space="preserve">Bomba de Transporte Oestergaard: equipo industrial. Distribuidor autorizado en Colombia. Solicite su cotización con un asesor de Technofood.</t>
  </si>
  <si>
    <t xml:space="preserve">Bomba de Transporte Oestergaard – equipo industrial para la industria de alimentos</t>
  </si>
  <si>
    <t xml:space="preserve">Título en mayúsculas: se pasó a iniciales en mayúscula. Se agregó la marca al título (no la tenía). Título genérico: agregar modelo o capacidad.</t>
  </si>
  <si>
    <t xml:space="preserve">digestor-continuo</t>
  </si>
  <si>
    <t xml:space="preserve">DIGESTOR CONTINUO</t>
  </si>
  <si>
    <t xml:space="preserve">Digestor Continuo Oestergaard</t>
  </si>
  <si>
    <t xml:space="preserve">Digestor Continuo Oestergaard | Technofood Colombia</t>
  </si>
  <si>
    <t xml:space="preserve">Digestor Continuo Oestergaard: equipo industrial. Distribuidor autorizado en Colombia. Solicite su cotización con un asesor de Technofood.</t>
  </si>
  <si>
    <t xml:space="preserve">Digestor Continuo Oestergaard – equipo industrial para la industria de alimentos</t>
  </si>
  <si>
    <t xml:space="preserve">molino-de-martillo</t>
  </si>
  <si>
    <t xml:space="preserve">MOLINO DE MARTILLO</t>
  </si>
  <si>
    <t xml:space="preserve">Molino de Martillo Oestergaard</t>
  </si>
  <si>
    <t xml:space="preserve">Molino de Martillo Oestergaard | Technofood Colombia</t>
  </si>
  <si>
    <t xml:space="preserve">Molino de Martillo Oestergaard: equipo industrial. Distribuidor autorizado en Colombia. Solicite su cotización con un asesor de Technofood.</t>
  </si>
  <si>
    <t xml:space="preserve">Molino de Martillo Oestergaard – equipo industrial para la industria de alimentos</t>
  </si>
  <si>
    <t xml:space="preserve">prensa-continua</t>
  </si>
  <si>
    <t xml:space="preserve">PRENSA CONTINUA</t>
  </si>
  <si>
    <t xml:space="preserve">Prensa Continua Oestergaard</t>
  </si>
  <si>
    <t xml:space="preserve">Prensa Continua Oestergaard | Technofood Colombia</t>
  </si>
  <si>
    <t xml:space="preserve">Prensa Continua Oestergaard: equipo industrial para la industria de alimentos. Distribuidor autorizado en Colombia. Solicite su cotización con Technofood.</t>
  </si>
  <si>
    <t xml:space="preserve">Prensa Continua Oestergaard – equipo industrial para la industria de alimentos</t>
  </si>
  <si>
    <t xml:space="preserve">modulo-de-coccion-dual-mc1000</t>
  </si>
  <si>
    <t xml:space="preserve">Paganini</t>
  </si>
  <si>
    <t xml:space="preserve">MÓDULO DE COCCIÓN DUAL MC1000</t>
  </si>
  <si>
    <t xml:space="preserve">Módulo de Cocción Dual MC1000 Paganini</t>
  </si>
  <si>
    <t xml:space="preserve">Módulo de Cocción Dual MC1000 Paganini | Technofood Colombia</t>
  </si>
  <si>
    <t xml:space="preserve">Módulo de Cocción Dual MC1000 Paganini: equipo industrial. Distribuidor autorizado en Colombia. Solicite su cotización con un asesor de Technofood.</t>
  </si>
  <si>
    <t xml:space="preserve">Módulo de Cocción Dual MC1000 Paganini – equipo industrial para la industria de alimentos</t>
  </si>
  <si>
    <t xml:space="preserve">generador-de-humo-steamsmoker-s-850-h</t>
  </si>
  <si>
    <t xml:space="preserve">Reich</t>
  </si>
  <si>
    <t xml:space="preserve">GENERADOR DE HUMO STEAMSMOKER S 850 H</t>
  </si>
  <si>
    <t xml:space="preserve">Generador de Humo Steamsmoker S 850 H Reich</t>
  </si>
  <si>
    <t xml:space="preserve">Generador de Humo Steamsmoker S 850 H Reich | Technofood</t>
  </si>
  <si>
    <t xml:space="preserve">Generador de Humo Steamsmoker S 850 H Reich: equipo industrial. Distribuidor autorizado en Colombia. Solicite su cotización con un asesor de Technofood.</t>
  </si>
  <si>
    <t xml:space="preserve">Generador de Humo Steamsmoker S 850 H Reich – equipo industrial para la industria de alimentos</t>
  </si>
  <si>
    <t xml:space="preserve">horno-airmaster-kk</t>
  </si>
  <si>
    <t xml:space="preserve">HORNO AIRMASTER KK</t>
  </si>
  <si>
    <t xml:space="preserve">Horno Airmaster KK Reich</t>
  </si>
  <si>
    <t xml:space="preserve">Horno Airmaster KK Reich | Technofood Colombia</t>
  </si>
  <si>
    <t xml:space="preserve">Horno Airmaster KK Reich: equipo industrial para la industria de alimentos. Distribuidor autorizado en Colombia. Solicite su cotización con Technofood.</t>
  </si>
  <si>
    <t xml:space="preserve">Horno Airmaster KK Reich – equipo industrial para la industria de alimentos</t>
  </si>
  <si>
    <t xml:space="preserve">intercambiador-airmaster-ic</t>
  </si>
  <si>
    <t xml:space="preserve">INTERCAMBIADOR AIRMASTER IC</t>
  </si>
  <si>
    <t xml:space="preserve">Intercambiador Airmaster IC Reich</t>
  </si>
  <si>
    <t xml:space="preserve">Intercambiador Airmaster IC Reich | Technofood Colombia</t>
  </si>
  <si>
    <t xml:space="preserve">Intercambiador Airmaster IC Reich: equipo industrial. Distribuidor autorizado en Colombia. Solicite su cotización con un asesor de Technofood.</t>
  </si>
  <si>
    <t xml:space="preserve">Intercambiador Airmaster IC Reich – equipo industrial para la industria de alimentos</t>
  </si>
  <si>
    <t xml:space="preserve">cortadora-k-60</t>
  </si>
  <si>
    <t xml:space="preserve">Seydelmann</t>
  </si>
  <si>
    <t xml:space="preserve">CORTADORA K 60</t>
  </si>
  <si>
    <t xml:space="preserve">Cortadora K 60 Seydelmann</t>
  </si>
  <si>
    <t xml:space="preserve">Cortadora K 60 Seydelmann | Technofood Colombia</t>
  </si>
  <si>
    <t xml:space="preserve">Cortadora K 60 Seydelmann: equipo industrial para la industria de alimentos. Distribuidor autorizado en Colombia. Solicite su cotización con Technofood.</t>
  </si>
  <si>
    <t xml:space="preserve">Cortadora K 60 Seydelmann – equipo industrial para la industria de alimentos</t>
  </si>
  <si>
    <t xml:space="preserve">emulsificadora-kk-140</t>
  </si>
  <si>
    <t xml:space="preserve">EMULSIFICADORA KK 140</t>
  </si>
  <si>
    <t xml:space="preserve">Emulsificadora KK 140 Seydelmann</t>
  </si>
  <si>
    <t xml:space="preserve">Emulsificadora KK 140 Seydelmann | Technofood Colombia</t>
  </si>
  <si>
    <t xml:space="preserve">Emulsificadora KK 140 Seydelmann: equipo industrial. Distribuidor autorizado en Colombia. Solicite su cotización con un asesor de Technofood.</t>
  </si>
  <si>
    <t xml:space="preserve">Emulsificadora KK 140 Seydelmann – equipo industrial para la industria de alimentos</t>
  </si>
  <si>
    <t xml:space="preserve">mezcladora-mr-1800</t>
  </si>
  <si>
    <t xml:space="preserve">MEZCLADORA MR 1800</t>
  </si>
  <si>
    <t xml:space="preserve">Mezcladora MR 1800 Seydelmann</t>
  </si>
  <si>
    <t xml:space="preserve">Mezcladora MR 1800 Seydelmann | Technofood Colombia</t>
  </si>
  <si>
    <t xml:space="preserve">Mezcladora MR 1800 Seydelmann: equipo industrial. Distribuidor autorizado en Colombia. Solicite su cotización con un asesor de Technofood.</t>
  </si>
  <si>
    <t xml:space="preserve">Mezcladora MR 1800 Seydelmann – equipo industrial para la industria de alimentos</t>
  </si>
  <si>
    <t xml:space="preserve">molino-automatico-ae-130-3</t>
  </si>
  <si>
    <t xml:space="preserve">MOLINO AUTOMÁTICO AE 130-3</t>
  </si>
  <si>
    <t xml:space="preserve">Molino Automático AE 130-3 Seydelmann</t>
  </si>
  <si>
    <t xml:space="preserve">Molino Automático AE 130-3 Seydelmann | Technofood Colombia</t>
  </si>
  <si>
    <t xml:space="preserve">Molino Automático AE 130-3 Seydelmann: equipo industrial. Distribuidor autorizado en Colombia. Solicite su cotización con un asesor de Technofood.</t>
  </si>
  <si>
    <t xml:space="preserve">Molino Automático AE 130-3 Seydelmann – equipo industrial para la industria de alimentos</t>
  </si>
  <si>
    <t xml:space="preserve">molino-automatico-av-250-u</t>
  </si>
  <si>
    <t xml:space="preserve">MOLINO AUTOMÁTICO AV 250 U</t>
  </si>
  <si>
    <t xml:space="preserve">Molino Automático AV 250 U Seydelmann</t>
  </si>
  <si>
    <t xml:space="preserve">Molino Automático AV 250 U Seydelmann | Technofood Colombia</t>
  </si>
  <si>
    <t xml:space="preserve">Molino Automático AV 250 U Seydelmann: equipo industrial. Distribuidor autorizado en Colombia. Solicite su cotización con un asesor de Technofood.</t>
  </si>
  <si>
    <t xml:space="preserve">Molino Automático AV 250 U Seydelmann – equipo industrial para la industria de alimentos</t>
  </si>
  <si>
    <t xml:space="preserve">tunel-de-refrigeracion-ac-660</t>
  </si>
  <si>
    <t xml:space="preserve">Supervac</t>
  </si>
  <si>
    <t xml:space="preserve">TÚNEL DE REFRIGERACIÓN AC 660</t>
  </si>
  <si>
    <t xml:space="preserve">Túnel de Refrigeración AC 660 Supervac</t>
  </si>
  <si>
    <t xml:space="preserve">Túnel de Refrigeración AC 660 Supervac | Technofood Colombia</t>
  </si>
  <si>
    <t xml:space="preserve">Túnel de Refrigeración AC 660 Supervac: equipo industrial. Distribuidor autorizado en Colombia. Solicite su cotización con un asesor de Technofood.</t>
  </si>
  <si>
    <t xml:space="preserve">Túnel de Refrigeración AC 660 Supervac – equipo industrial para la industria de alimentos</t>
  </si>
  <si>
    <t xml:space="preserve">cortadora-de-bloques-de-carne-congelada-qp-5230</t>
  </si>
  <si>
    <t xml:space="preserve">Technofood</t>
  </si>
  <si>
    <t xml:space="preserve">CORTADORA DE BLOQUES DE CARNE CONGELADA QP 5230</t>
  </si>
  <si>
    <t xml:space="preserve">Cortadora de Bloques de Carne Congelada QP 5230 Technofood</t>
  </si>
  <si>
    <t xml:space="preserve">Cortadora de Bloques de Carne Congelada QP 5230 Technofood. Distribuidor autorizado en Colombia. Solicite su cotización con Technofood.</t>
  </si>
  <si>
    <t xml:space="preserve">Cortadora de Bloques de Carne Congelada QP 5230 Technofood – equipo industrial para la industria de alimentos</t>
  </si>
  <si>
    <t xml:space="preserve">cutter-industrial-de-alta-velocidad-zbg-200</t>
  </si>
  <si>
    <t xml:space="preserve">CUTTER INDUSTRIAL DE ALTA VELOCIDAD ZBG 200</t>
  </si>
  <si>
    <t xml:space="preserve">Cutter Industrial de Alta Velocidad ZBG 200 Technofood</t>
  </si>
  <si>
    <t xml:space="preserve">Cutter Industrial de Alta Velocidad ZBG 200 Technofood. Distribuidor autorizado en Colombia. Solicite su cotización con Technofood.</t>
  </si>
  <si>
    <t xml:space="preserve">Cutter Industrial de Alta Velocidad ZBG 200 Technofood – equipo industrial para la industria de alimentos</t>
  </si>
  <si>
    <t xml:space="preserve">cutter-industrial-de-alta-velocidad-zbg-80-ii</t>
  </si>
  <si>
    <t xml:space="preserve">CUTTER INDUSTRIAL DE ALTA VELOCIDAD ZBG 80 II</t>
  </si>
  <si>
    <t xml:space="preserve">Cutter Industrial de Alta Velocidad ZBG 80 II Technofood</t>
  </si>
  <si>
    <t xml:space="preserve">Cutter Industrial de Alta Velocidad ZBG 80 II Technofood. Distribuidor autorizado en Colombia. Solicite su cotización con Technofood.</t>
  </si>
  <si>
    <t xml:space="preserve">Cutter Industrial de Alta Velocidad ZBG 80 II Technofood – equipo industrial para la industria de alimentos</t>
  </si>
  <si>
    <t xml:space="preserve">cutter-industrial-zbg-125</t>
  </si>
  <si>
    <t xml:space="preserve">CUTTER INDUSTRIAL ZBG 125</t>
  </si>
  <si>
    <t xml:space="preserve">Cutter Industrial ZBG 125 Technofood</t>
  </si>
  <si>
    <t xml:space="preserve">Cutter Industrial ZBG 125 Technofood | Technofood Colombia</t>
  </si>
  <si>
    <t xml:space="preserve">Cutter Industrial ZBG 125 Technofood: equipo industrial. Distribuidor autorizado en Colombia. Solicite su cotización con un asesor de Technofood.</t>
  </si>
  <si>
    <t xml:space="preserve">Cutter Industrial ZBG 125 Technofood – equipo industrial para la industria de alimentos</t>
  </si>
  <si>
    <t xml:space="preserve">cutter-industrial-zbg-20</t>
  </si>
  <si>
    <t xml:space="preserve">CUTTER INDUSTRIAL ZBG 20</t>
  </si>
  <si>
    <t xml:space="preserve">Cutter Industrial ZBG 20 Technofood</t>
  </si>
  <si>
    <t xml:space="preserve">Cutter Industrial ZBG 20 Technofood | Technofood Colombia</t>
  </si>
  <si>
    <t xml:space="preserve">Cutter Industrial ZBG 20 Technofood: equipo industrial. Distribuidor autorizado en Colombia. Solicite su cotización con un asesor de Technofood.</t>
  </si>
  <si>
    <t xml:space="preserve">Cutter Industrial ZBG 20 Technofood – equipo industrial para la industria de alimentos</t>
  </si>
  <si>
    <t xml:space="preserve">elevador-de-carros-ts-200</t>
  </si>
  <si>
    <t xml:space="preserve">ELEVADOR DE CARROS TS 200</t>
  </si>
  <si>
    <t xml:space="preserve">Elevador de Carros TS 200 Technofood</t>
  </si>
  <si>
    <t xml:space="preserve">Elevador de Carros TS 200 Technofood | Technofood Colombia</t>
  </si>
  <si>
    <t xml:space="preserve">Elevador de Carros TS 200 Technofood: equipo industrial. Distribuidor autorizado en Colombia. Solicite su cotización con un asesor de Technofood.</t>
  </si>
  <si>
    <t xml:space="preserve">Elevador de Carros TS 200 Technofood – equipo industrial para la industria de alimentos</t>
  </si>
  <si>
    <t xml:space="preserve">masajeador-al-vacio-con-refrigeracion-grkl-3500</t>
  </si>
  <si>
    <t xml:space="preserve">MASAJEADOR AL VACÍO CON REFRIGERACIÓN GRKL 3500</t>
  </si>
  <si>
    <t xml:space="preserve">Masajeador al Vacío con Refrigeración GRKL 3500 Technofood</t>
  </si>
  <si>
    <t xml:space="preserve">Masajeador al Vacío con Refrigeración GRKL 3500 Technofood. Distribuidor autorizado en Colombia. Solicite su cotización con Technofood.</t>
  </si>
  <si>
    <t xml:space="preserve">Masajeador al Vacío con Refrigeración GRKL 3500 Technofood – equipo industrial para la industria de alimentos</t>
  </si>
  <si>
    <t xml:space="preserve">masajeador-al-vacio-grzk-100</t>
  </si>
  <si>
    <t xml:space="preserve">MASAJEADOR AL VACÍO GRZK 100</t>
  </si>
  <si>
    <t xml:space="preserve">Masajeador al Vacío GRZK 100 Technofood</t>
  </si>
  <si>
    <t xml:space="preserve">Masajeador al Vacío GRZK 100 Technofood | Technofood</t>
  </si>
  <si>
    <t xml:space="preserve">Masajeador al Vacío GRZK 100 Technofood: equipo industrial. Distribuidor autorizado en Colombia. Solicite su cotización con un asesor de Technofood.</t>
  </si>
  <si>
    <t xml:space="preserve">Masajeador al Vacío GRZK 100 Technofood – equipo industrial para la industria de alimentos</t>
  </si>
  <si>
    <t xml:space="preserve">masajeador-al-vacio-grzk-1000</t>
  </si>
  <si>
    <t xml:space="preserve">MASAJEADOR AL VACÍO GRZK 1000</t>
  </si>
  <si>
    <t xml:space="preserve">Masajeador al Vacío GRZK 1000 Technofood</t>
  </si>
  <si>
    <t xml:space="preserve">Masajeador al Vacío GRZK 1000 Technofood | Technofood</t>
  </si>
  <si>
    <t xml:space="preserve">Masajeador al Vacío GRZK 1000 Technofood: equipo industrial. Distribuidor autorizado en Colombia. Solicite su cotización con un asesor de Technofood.</t>
  </si>
  <si>
    <t xml:space="preserve">Masajeador al Vacío GRZK 1000 Technofood – equipo industrial para la industria de alimentos</t>
  </si>
  <si>
    <t xml:space="preserve">masajeador-al-vacio-grzk-2500</t>
  </si>
  <si>
    <t xml:space="preserve">MASAJEADOR AL VACÍO GRZK 2500</t>
  </si>
  <si>
    <t xml:space="preserve">Masajeador al Vacío GRZK 2500 Technofood</t>
  </si>
  <si>
    <t xml:space="preserve">Masajeador al Vacío GRZK 2500 Technofood | Technofood</t>
  </si>
  <si>
    <t xml:space="preserve">Masajeador al Vacío GRZK 2500 Technofood: equipo industrial. Distribuidor autorizado en Colombia. Solicite su cotización con un asesor de Technofood.</t>
  </si>
  <si>
    <t xml:space="preserve">Masajeador al Vacío GRZK 2500 Technofood – equipo industrial para la industria de alimentos</t>
  </si>
  <si>
    <t xml:space="preserve">masajeador-al-vacio-th-1800</t>
  </si>
  <si>
    <t xml:space="preserve">MASAJEADOR AL VACÍO TH 1800</t>
  </si>
  <si>
    <t xml:space="preserve">Masajeador al Vacío TH 1800 Technofood</t>
  </si>
  <si>
    <t xml:space="preserve">Masajeador al Vacío TH 1800 Technofood | Technofood Colombia</t>
  </si>
  <si>
    <t xml:space="preserve">Masajeador al Vacío TH 1800 Technofood: equipo industrial. Distribuidor autorizado en Colombia. Solicite su cotización con un asesor de Technofood.</t>
  </si>
  <si>
    <t xml:space="preserve">Masajeador al Vacío TH 1800 Technofood – equipo industrial para la industria de alimentos</t>
  </si>
  <si>
    <t xml:space="preserve">masajeadora-al-vacio-con-refrigeracion-grkl-1600</t>
  </si>
  <si>
    <t xml:space="preserve">MASAJEADORA AL VACÍO CON REFRIGERACIÓN GRKL 1600</t>
  </si>
  <si>
    <t xml:space="preserve">Masajeadora al Vacío con Refrigeración GRKL 1600 Technofood</t>
  </si>
  <si>
    <t xml:space="preserve">Masajeadora al Vacío con Refrigeración GRKL 1600 Technofood. Distribuidor autorizado en Colombia. Solicite su cotización con Technofood.</t>
  </si>
  <si>
    <t xml:space="preserve">Masajeadora al Vacío con Refrigeración GRKL 1600 Technofood – equipo industrial para la industria de alimentos</t>
  </si>
  <si>
    <t xml:space="preserve">mezclador-al-vacio-jbzk-650</t>
  </si>
  <si>
    <t xml:space="preserve">MEZCLADOR AL VACÍO JBZK 650</t>
  </si>
  <si>
    <t xml:space="preserve">Mezclador al Vacío JBZK 650 Technofood</t>
  </si>
  <si>
    <t xml:space="preserve">Mezclador al Vacío JBZK 650 Technofood | Technofood Colombia</t>
  </si>
  <si>
    <t xml:space="preserve">Mezclador al Vacío JBZK 650 Technofood: equipo industrial. Distribuidor autorizado en Colombia. Solicite su cotización con un asesor de Technofood.</t>
  </si>
  <si>
    <t xml:space="preserve">Mezclador al Vacío JBZK 650 Technofood – equipo industrial para la industria de alimentos</t>
  </si>
  <si>
    <t xml:space="preserve">mezclador-de-carne-jb-150</t>
  </si>
  <si>
    <t xml:space="preserve">MEZCLADOR DE CARNE JB 150</t>
  </si>
  <si>
    <t xml:space="preserve">Mezclador de Carne JB 150 Technofood</t>
  </si>
  <si>
    <t xml:space="preserve">Mezclador de Carne JB 150 Technofood | Technofood Colombia</t>
  </si>
  <si>
    <t xml:space="preserve">Mezclador de Carne JB 150 Technofood: equipo industrial. Distribuidor autorizado en Colombia. Solicite su cotización con un asesor de Technofood.</t>
  </si>
  <si>
    <t xml:space="preserve">Mezclador de Carne JB 150 Technofood – equipo industrial para la industria de alimentos</t>
  </si>
  <si>
    <t xml:space="preserve">mezclador-de-carne-jb-2000</t>
  </si>
  <si>
    <t xml:space="preserve">MEZCLADOR DE CARNE JB 2000</t>
  </si>
  <si>
    <t xml:space="preserve">Mezclador de Carne JB 2000 Technofood</t>
  </si>
  <si>
    <t xml:space="preserve">Mezclador de Carne JB 2000 Technofood | Technofood Colombia</t>
  </si>
  <si>
    <t xml:space="preserve">Mezclador de Carne JB 2000 Technofood: equipo industrial. Distribuidor autorizado en Colombia. Solicite su cotización con un asesor de Technofood.</t>
  </si>
  <si>
    <t xml:space="preserve">Mezclador de Carne JB 2000 Technofood – equipo industrial para la industria de alimentos</t>
  </si>
  <si>
    <t xml:space="preserve">mezclador-de-carne-jb-650</t>
  </si>
  <si>
    <t xml:space="preserve">MEZCLADOR DE CARNE JB 650</t>
  </si>
  <si>
    <t xml:space="preserve">Mezclador de Carne JB 650 Technofood</t>
  </si>
  <si>
    <t xml:space="preserve">Mezclador de Carne JB 650 Technofood | Technofood Colombia</t>
  </si>
  <si>
    <t xml:space="preserve">Mezclador de Carne JB 650 Technofood: equipo industrial. Distribuidor autorizado en Colombia. Solicite su cotización con un asesor de Technofood.</t>
  </si>
  <si>
    <t xml:space="preserve">Mezclador de Carne JB 650 Technofood – equipo industrial para la industria de alimentos</t>
  </si>
  <si>
    <t xml:space="preserve">molino-de-carne-industrial-jr-130</t>
  </si>
  <si>
    <t xml:space="preserve">MOLINO DE CARNE INDUSTRIAL JR 130</t>
  </si>
  <si>
    <t xml:space="preserve">Molino de Carne Industrial JR 130 Technofood</t>
  </si>
  <si>
    <t xml:space="preserve">Molino de Carne Industrial JR 130 Technofood | Technofood</t>
  </si>
  <si>
    <t xml:space="preserve">Molino de Carne Industrial JR 130 Technofood: equipo industrial. Distribuidor autorizado en Colombia. Solicite su cotización con un asesor de Technofood.</t>
  </si>
  <si>
    <t xml:space="preserve">Molino de Carne Industrial JR 130 Technofood – equipo industrial para la industria de alimentos</t>
  </si>
  <si>
    <t xml:space="preserve">molino-de-carne-industrial-jrd-160</t>
  </si>
  <si>
    <t xml:space="preserve">MOLINO DE CARNE INDUSTRIAL JRD 160</t>
  </si>
  <si>
    <t xml:space="preserve">Molino de Carne Industrial JRD 160 Technofood</t>
  </si>
  <si>
    <t xml:space="preserve">Molino de Carne Industrial JRD 160 Technofood | Technofood</t>
  </si>
  <si>
    <t xml:space="preserve">Molino de Carne Industrial JRD 160 Technofood: equipo industrial. Distribuidor autorizado en Colombia. Solicite su cotización con un asesor de Technofood.</t>
  </si>
  <si>
    <t xml:space="preserve">Molino de Carne Industrial JRD 160 Technofood – equipo industrial para la industria de alimentos</t>
  </si>
  <si>
    <t xml:space="preserve">termoformadora-maximus-re</t>
  </si>
  <si>
    <t xml:space="preserve">Variovac</t>
  </si>
  <si>
    <t xml:space="preserve">TERMOFORMADORA MAXIMUS RE</t>
  </si>
  <si>
    <t xml:space="preserve">Termoformadora Maximus RE Variovac</t>
  </si>
  <si>
    <t xml:space="preserve">Termoformadora Maximus RE Variovac | Technofood Colombia</t>
  </si>
  <si>
    <t xml:space="preserve">Termoformadora Maximus RE Variovac: equipo industrial. Distribuidor autorizado en Colombia. Solicite su cotización con un asesor de Technofood.</t>
  </si>
  <si>
    <t xml:space="preserve">Termoformadora Maximus RE Variovac – equipo industrial para la industria de alimentos</t>
  </si>
  <si>
    <t xml:space="preserve">termoformadora-optimus</t>
  </si>
  <si>
    <t xml:space="preserve">TERMOFORMADORA OPTIMUS</t>
  </si>
  <si>
    <t xml:space="preserve">Termoformadora Optimus Variovac</t>
  </si>
  <si>
    <t xml:space="preserve">Termoformadora Optimus Variovac | Technofood Colombia</t>
  </si>
  <si>
    <t xml:space="preserve">Termoformadora Optimus Variovac: equipo industrial. Distribuidor autorizado en Colombia. Solicite su cotización con un asesor de Technofood.</t>
  </si>
  <si>
    <t xml:space="preserve">Termoformadora Optimus Variovac – equipo industrial para la industria de alimentos</t>
  </si>
  <si>
    <t xml:space="preserve">termoformadora-primus-mp</t>
  </si>
  <si>
    <t xml:space="preserve">TERMOFORMADORA PRIMUS MP</t>
  </si>
  <si>
    <t xml:space="preserve">Termoformadora Primus MP Variovac</t>
  </si>
  <si>
    <t xml:space="preserve">Termoformadora Primus MP Variovac | Technofood Colombia</t>
  </si>
  <si>
    <t xml:space="preserve">Termoformadora Primus MP Variovac: equipo industrial. Distribuidor autorizado en Colombia. Solicite su cotización con un asesor de Technofood.</t>
  </si>
  <si>
    <t xml:space="preserve">Termoformadora Primus MP Variovac – equipo industrial para la industria de alimentos</t>
  </si>
  <si>
    <t xml:space="preserve">cargador-mecanico-de-salchichas</t>
  </si>
  <si>
    <t xml:space="preserve">Velec</t>
  </si>
  <si>
    <t xml:space="preserve">CARGADOR MECÁNICO DE SALCHICHAS</t>
  </si>
  <si>
    <t xml:space="preserve">Cargador Mecánico de Salchichas Velec</t>
  </si>
  <si>
    <t xml:space="preserve">Cargador Mecánico de Salchichas Velec | Technofood Colombia</t>
  </si>
  <si>
    <t xml:space="preserve">Cargador Mecánico de Salchichas Velec: equipo industrial. Distribuidor autorizado en Colombia. Solicite su cotización con un asesor de Technofood.</t>
  </si>
  <si>
    <t xml:space="preserve">Cargador Mecánico de Salchichas Velec – equipo industrial para la industria de alimentos</t>
  </si>
  <si>
    <t xml:space="preserve">sistema-de-dosificacion-cedev-4150</t>
  </si>
  <si>
    <t xml:space="preserve">SISTEMA DE DOSIFICACIÓN CEDEV 4150</t>
  </si>
  <si>
    <t xml:space="preserve">Sistema de Dosificación Cedev 4150 Velec</t>
  </si>
  <si>
    <t xml:space="preserve">Sistema de Dosificación Cedev 4150 Velec | Technofood</t>
  </si>
  <si>
    <t xml:space="preserve">Sistema de Dosificación Cedev 4150 Velec: equipo industrial. Distribuidor autorizado en Colombia. Solicite su cotización con un asesor de Technofood.</t>
  </si>
  <si>
    <t xml:space="preserve">Sistema de Dosificación Cedev 4150 Velec – equipo industrial para la industria de alimentos</t>
  </si>
  <si>
    <t xml:space="preserve">carro-cutter-awe</t>
  </si>
  <si>
    <t xml:space="preserve">Carro cutter Awe</t>
  </si>
  <si>
    <t xml:space="preserve">Carro Cutter AWE</t>
  </si>
  <si>
    <t xml:space="preserve">Carro Cutter AWE | Technofood Colombia</t>
  </si>
  <si>
    <t xml:space="preserve">Carro Cutter AWE: insumo industrial para la industria de alimentos. Distribuidor autorizado en Colombia. Solicite su cotización con Technofood.</t>
  </si>
  <si>
    <t xml:space="preserve">Carro Cutter AWE – insumo industrial para la industria de alimentos</t>
  </si>
  <si>
    <t xml:space="preserve">dedos-de-goma-desplumadores-baader</t>
  </si>
  <si>
    <t xml:space="preserve">Dedos de goma desplumadores Baader</t>
  </si>
  <si>
    <t xml:space="preserve">Dedos de Goma Desplumadores Baader</t>
  </si>
  <si>
    <t xml:space="preserve">Dedos de Goma Desplumadores Baader | Technofood Colombia</t>
  </si>
  <si>
    <t xml:space="preserve">Dedos de Goma Desplumadores Baader: insumo industrial. Distribuidor autorizado en Colombia. Solicite su cotización con un asesor de Technofood.</t>
  </si>
  <si>
    <t xml:space="preserve">Dedos de Goma Desplumadores Baader – insumo industrial para la industria de alimentos</t>
  </si>
  <si>
    <t xml:space="preserve">pig-plug-efa</t>
  </si>
  <si>
    <t xml:space="preserve">Pig Plug Efa</t>
  </si>
  <si>
    <t xml:space="preserve">Pig Plug EFA</t>
  </si>
  <si>
    <t xml:space="preserve">Pig Plug EFA | Technofood Colombia</t>
  </si>
  <si>
    <t xml:space="preserve">Pig Plug EFA: insumo industrial para la industria de alimentos. Distribuidor autorizado en Colombia. Solicite su cotización con Technofood.</t>
  </si>
  <si>
    <t xml:space="preserve">Pig Plug EFA – insumo industrial para la industria de alimentos</t>
  </si>
  <si>
    <t xml:space="preserve">rollos-de-papel-para-hamburguesa-gaser</t>
  </si>
  <si>
    <t xml:space="preserve">Rollos de papel para hamburguesa Gaser</t>
  </si>
  <si>
    <t xml:space="preserve">Rollos de Papel para Hamburguesa Gaser</t>
  </si>
  <si>
    <t xml:space="preserve">Rollos de Papel para Hamburguesa Gaser | Technofood Colombia</t>
  </si>
  <si>
    <t xml:space="preserve">Rollos de Papel para Hamburguesa Gaser: insumo industrial. Distribuidor autorizado en Colombia. Solicite su cotización con un asesor de Technofood.</t>
  </si>
  <si>
    <t xml:space="preserve">Rollos de Papel para Hamburguesa Gaser – insumo industrial para la industria de alimentos</t>
  </si>
  <si>
    <t xml:space="preserve">cartucho-de-tinta-solvente-hp-975-para-codificador</t>
  </si>
  <si>
    <t xml:space="preserve">HP</t>
  </si>
  <si>
    <t xml:space="preserve">Cartucho de tinta solvente HP 975 para codificador</t>
  </si>
  <si>
    <t xml:space="preserve">Cartucho de Tinta Solvente HP 975 para Codificador</t>
  </si>
  <si>
    <t xml:space="preserve">Cartucho de Tinta Solvente HP 975 para Codificador. Distribuidor autorizado en Colombia. Solicite su cotización con Technofood.</t>
  </si>
  <si>
    <t xml:space="preserve">Cartucho de Tinta Solvente HP 975 para Codificador – insumo industrial para la industria de alimentos</t>
  </si>
  <si>
    <t xml:space="preserve">clips-de-aluminio-international-clip</t>
  </si>
  <si>
    <t xml:space="preserve">Clips de aluminio International Clip</t>
  </si>
  <si>
    <t xml:space="preserve">Clips de Aluminio International Clip</t>
  </si>
  <si>
    <t xml:space="preserve">Clips de Aluminio International Clip | Technofood Colombia</t>
  </si>
  <si>
    <t xml:space="preserve">Clips de Aluminio International Clip: insumo industrial. Distribuidor autorizado en Colombia. Solicite su cotización con un asesor de Technofood.</t>
  </si>
  <si>
    <t xml:space="preserve">Clips de Aluminio International Clip – insumo industrial para la industria de alimentos</t>
  </si>
  <si>
    <t xml:space="preserve">lazos-para-salchichon-international-clip-gs-25</t>
  </si>
  <si>
    <t xml:space="preserve">Lazos para salchichón International Clip GS 25</t>
  </si>
  <si>
    <t xml:space="preserve">Lazos para Salchichón International Clip GS 25</t>
  </si>
  <si>
    <t xml:space="preserve">Lazos para Salchichón International Clip GS 25 | Technofood</t>
  </si>
  <si>
    <t xml:space="preserve">Lazos para Salchichón International Clip GS 25: insumo industrial. Distribuidor autorizado en Colombia. Solicite su cotización con un asesor de Technofood.</t>
  </si>
  <si>
    <t xml:space="preserve">Lazos para Salchichón International Clip GS 25 – insumo industrial para la industria de alimentos</t>
  </si>
  <si>
    <t xml:space="preserve">rascador-taesa-ueb-1</t>
  </si>
  <si>
    <t xml:space="preserve">Taesa</t>
  </si>
  <si>
    <t xml:space="preserve">Rascador Taesa UEB-1</t>
  </si>
  <si>
    <t xml:space="preserve">Rascador Taesa UEB-1 | Technofood Colombia</t>
  </si>
  <si>
    <t xml:space="preserve">Rascador Taesa UEB-1: insumo industrial para la industria de alimentos. Distribuidor autorizado en Colombia. Solicite su cotización con Technofood.</t>
  </si>
  <si>
    <t xml:space="preserve">Rascador Taesa UEB-1 – insumo industrial para la industria de alimentos</t>
  </si>
  <si>
    <t xml:space="preserve">agente-desmoldante-pco-i-10-litros</t>
  </si>
  <si>
    <t xml:space="preserve">Agente desmoldante PCO-I 10 litros</t>
  </si>
  <si>
    <t xml:space="preserve">Agente Desmoldante PCO-I 10 Litros Boyens</t>
  </si>
  <si>
    <t xml:space="preserve">Agente Desmoldante PCO-I 10 Litros Boyens | Technofood</t>
  </si>
  <si>
    <t xml:space="preserve">Agente Desmoldante PCO-I 10 Litros Boyens: insumo industrial. Distribuidor autorizado en Colombia. Solicite su cotización con un asesor de Technofood.</t>
  </si>
  <si>
    <t xml:space="preserve">Agente Desmoldante PCO-I 10 Litros Boyens – insumo industrial para la industria de alimentos</t>
  </si>
  <si>
    <t xml:space="preserve">Se agregó la marca al título (no la tenía).</t>
  </si>
  <si>
    <t xml:space="preserve">agente-desmoldante-trennspray-600-ml</t>
  </si>
  <si>
    <t xml:space="preserve">Agente desmoldante Trennspray 600 ml</t>
  </si>
  <si>
    <t xml:space="preserve">Agente Desmoldante Trennspray 600 Ml Boyens</t>
  </si>
  <si>
    <t xml:space="preserve">Agente Desmoldante Trennspray 600 Ml Boyens | Technofood</t>
  </si>
  <si>
    <t xml:space="preserve">Agente Desmoldante Trennspray 600 Ml Boyens: insumo industrial. Distribuidor autorizado en Colombia. Solicite su cotización con un asesor de Technofood.</t>
  </si>
  <si>
    <t xml:space="preserve">Agente Desmoldante Trennspray 600 Ml Boyens – insumo industrial para la industria de alimentos</t>
  </si>
  <si>
    <t xml:space="preserve">pulverizador-manual-spruhboy-04s</t>
  </si>
  <si>
    <t xml:space="preserve">Pulverizador manual Sprühboy 04S</t>
  </si>
  <si>
    <t xml:space="preserve">Pulverizador Manual Sprühboy 04S Boyens</t>
  </si>
  <si>
    <t xml:space="preserve">Pulverizador Manual Sprühboy 04S Boyens | Technofood</t>
  </si>
  <si>
    <t xml:space="preserve">Pulverizador Manual Sprühboy 04S Boyens: insumo industrial. Distribuidor autorizado en Colombia. Solicite su cotización con un asesor de Technofood.</t>
  </si>
  <si>
    <t xml:space="preserve">Pulverizador Manual Sprühboy 04S Boyens – insumo industrial para la industria de alimentos</t>
  </si>
  <si>
    <t xml:space="preserve">pulverizador-manual-spruhboy-08s</t>
  </si>
  <si>
    <t xml:space="preserve">Pulverizador manual Sprühboy 08S</t>
  </si>
  <si>
    <t xml:space="preserve">Pulverizador Manual Sprühboy 08S Boyens</t>
  </si>
  <si>
    <t xml:space="preserve">Pulverizador Manual Sprühboy 08S Boyens | Technofood</t>
  </si>
  <si>
    <t xml:space="preserve">Pulverizador Manual Sprühboy 08S Boyens: insumo industrial. Distribuidor autorizado en Colombia. Solicite su cotización con un asesor de Technofood.</t>
  </si>
  <si>
    <t xml:space="preserve">Pulverizador Manual Sprühboy 08S Boyens – insumo industrial para la industria de alimentos</t>
  </si>
  <si>
    <t xml:space="preserve">pulverizador-manual-spruhboy-14s</t>
  </si>
  <si>
    <t xml:space="preserve">Pulverizador manual Sprühboy 14S</t>
  </si>
  <si>
    <t xml:space="preserve">Pulverizador Manual Sprühboy 14S Boyens</t>
  </si>
  <si>
    <t xml:space="preserve">Pulverizador Manual Sprühboy 14S Boyens | Technofood</t>
  </si>
  <si>
    <t xml:space="preserve">Pulverizador Manual Sprühboy 14S Boyens: insumo industrial. Distribuidor autorizado en Colombia. Solicite su cotización con un asesor de Technofood.</t>
  </si>
  <si>
    <t xml:space="preserve">Pulverizador Manual Sprühboy 14S Boyens – insumo industrial para la industria de alimentos</t>
  </si>
  <si>
    <t xml:space="preserve">atadora-de-bolsas-fpa-10-romms</t>
  </si>
  <si>
    <t xml:space="preserve">Romms</t>
  </si>
  <si>
    <t xml:space="preserve">Atadora de bolsas FPA-10 Romms</t>
  </si>
  <si>
    <t xml:space="preserve">Atadora de Bolsas FPA-10 Romms</t>
  </si>
  <si>
    <t xml:space="preserve">Atadora de Bolsas FPA-10 Romms | Technofood Colombia</t>
  </si>
  <si>
    <t xml:space="preserve">Atadora de Bolsas FPA-10 Romms: equipo industrial. Distribuidor autorizado en Colombia. Solicite su cotización con un asesor de Technofood.</t>
  </si>
  <si>
    <t xml:space="preserve">Atadora de Bolsas FPA-10 Romms – equipo industrial para la industria de alimentos</t>
  </si>
  <si>
    <t xml:space="preserve">bandeja-de-aluminio-lisa-para-hornear-technofood</t>
  </si>
  <si>
    <t xml:space="preserve">Bandeja de aluminio lisa para hornear Technofood</t>
  </si>
  <si>
    <t xml:space="preserve">Bandeja de Aluminio Lisa para Hornear Technofood</t>
  </si>
  <si>
    <t xml:space="preserve">Bandeja de Aluminio Lisa para Hornear Technofood. Distribuidor autorizado en Colombia. Solicite su cotización con Technofood.</t>
  </si>
  <si>
    <t xml:space="preserve">Bandeja de Aluminio Lisa para Hornear Technofood – insumo industrial para la industria de alimentos</t>
  </si>
  <si>
    <t xml:space="preserve">bandeja-de-aluminio-perforada-para-hornear-technofood</t>
  </si>
  <si>
    <t xml:space="preserve">Bandeja de aluminio perforada para hornear Technofood</t>
  </si>
  <si>
    <t xml:space="preserve">Bandeja de Aluminio Perforada para Hornear Technofood</t>
  </si>
  <si>
    <t xml:space="preserve">Bandeja de Aluminio Perforada para Hornear Technofood. Distribuidor autorizado en Colombia. Solicite su cotización con Technofood.</t>
  </si>
  <si>
    <t xml:space="preserve">Bandeja de Aluminio Perforada para Hornear Technofood – insumo industrial para la industria de alimentos</t>
  </si>
  <si>
    <t xml:space="preserve">carretes-rollos-de-atar-technofood</t>
  </si>
  <si>
    <t xml:space="preserve">Carretes (rollos de atar) Technofood</t>
  </si>
  <si>
    <t xml:space="preserve">Carretes (Rollos de Atar) Technofood</t>
  </si>
  <si>
    <t xml:space="preserve">Carretes (Rollos de Atar) Technofood | Technofood Colombia</t>
  </si>
  <si>
    <t xml:space="preserve">Carretes (Rollos de Atar) Technofood: insumo industrial. Distribuidor autorizado en Colombia. Solicite su cotización con un asesor de Technofood.</t>
  </si>
  <si>
    <t xml:space="preserve">Carretes (Rollos de Atar) Technofood – insumo industrial para la industria de alimentos</t>
  </si>
  <si>
    <t xml:space="preserve">cuchillas-para-rebanar-pan-technofood</t>
  </si>
  <si>
    <t xml:space="preserve">Cuchillas para rebanar pan Technofood</t>
  </si>
  <si>
    <t xml:space="preserve">Cuchillas para Rebanar Pan Technofood</t>
  </si>
  <si>
    <t xml:space="preserve">Cuchillas para Rebanar Pan Technofood | Technofood Colombia</t>
  </si>
  <si>
    <t xml:space="preserve">Cuchillas para Rebanar Pan Technofood: insumo industrial. Distribuidor autorizado en Colombia. Solicite su cotización con un asesor de Technofood.</t>
  </si>
  <si>
    <t xml:space="preserve">Cuchillas para Rebanar Pan Technofood – insumo industrial para la industria de alimentos</t>
  </si>
  <si>
    <t xml:space="preserve">maquina-de-croissants-baby-2800-alba</t>
  </si>
  <si>
    <t xml:space="preserve">Alba</t>
  </si>
  <si>
    <t xml:space="preserve">Máquina de croissants Baby 2800 Alba</t>
  </si>
  <si>
    <t xml:space="preserve">Máquina de Croissants Baby 2800 Alba</t>
  </si>
  <si>
    <t xml:space="preserve">Máquina de Croissants Baby 2800 Alba | Technofood Colombia</t>
  </si>
  <si>
    <t xml:space="preserve">Máquina de Croissants Baby 2800 Alba: equipo industrial. Distribuidor autorizado en Colombia. Solicite su cotización con un asesor de Technofood.</t>
  </si>
  <si>
    <t xml:space="preserve">Máquina de Croissants Baby 2800 Alba – equipo industrial para la industria de alimentos</t>
  </si>
  <si>
    <t xml:space="preserve">maquina-de-croissants-vacios-croistar-5000-alba</t>
  </si>
  <si>
    <t xml:space="preserve">Máquina de croissants vacíos Croistar 5000 Alba</t>
  </si>
  <si>
    <t xml:space="preserve">Máquina de Croissants Vacíos Croistar 5000 Alba</t>
  </si>
  <si>
    <t xml:space="preserve">Máquina de Croissants Vacíos Croistar 5000 Alba | Technofood</t>
  </si>
  <si>
    <t xml:space="preserve">Máquina de Croissants Vacíos Croistar 5000 Alba. Distribuidor autorizado en Colombia. Solicite su cotización con Technofood.</t>
  </si>
  <si>
    <t xml:space="preserve">Máquina de Croissants Vacíos Croistar 5000 Alba – equipo industrial para la industria de alimentos</t>
  </si>
  <si>
    <t xml:space="preserve">maquina-de-croissants-vacios-tkc-12-000-alba</t>
  </si>
  <si>
    <t xml:space="preserve">Máquina de croissants vacíos TKC 12.000 Alba</t>
  </si>
  <si>
    <t xml:space="preserve">Máquina de Croissants Vacíos TKC 12.000 Alba</t>
  </si>
  <si>
    <t xml:space="preserve">Máquina de Croissants Vacíos TKC 12.000 Alba | Technofood</t>
  </si>
  <si>
    <t xml:space="preserve">Máquina de Croissants Vacíos TKC 12.000 Alba: equipo industrial. Distribuidor autorizado en Colombia. Solicite su cotización con un asesor de Technofood.</t>
  </si>
  <si>
    <t xml:space="preserve">Máquina de Croissants Vacíos TKC 12.000 Alba – equipo industrial para la industria de alimentos</t>
  </si>
  <si>
    <t xml:space="preserve">divisora-boleadora-daky11</t>
  </si>
  <si>
    <t xml:space="preserve">Dams</t>
  </si>
  <si>
    <t xml:space="preserve">Divisora boleadora DAKY11</t>
  </si>
  <si>
    <t xml:space="preserve">Divisora Boleadora DAKY11 Dams</t>
  </si>
  <si>
    <t xml:space="preserve">Divisora Boleadora DAKY11 Dams | Technofood Colombia</t>
  </si>
  <si>
    <t xml:space="preserve">Divisora Boleadora DAKY11 Dams: equipo industrial. Distribuidor autorizado en Colombia. Solicite su cotización con un asesor de Technofood.</t>
  </si>
  <si>
    <t xml:space="preserve">Divisora Boleadora DAKY11 Dams – equipo industrial para la industria de alimentos</t>
  </si>
  <si>
    <t xml:space="preserve">divisora-boleadora-duky-54</t>
  </si>
  <si>
    <t xml:space="preserve">Divisora boleadora DUKY 54</t>
  </si>
  <si>
    <t xml:space="preserve">Divisora Boleadora DUKY 54 Dams</t>
  </si>
  <si>
    <t xml:space="preserve">Divisora Boleadora DUKY 54 Dams | Technofood Colombia</t>
  </si>
  <si>
    <t xml:space="preserve">Divisora Boleadora DUKY 54 Dams: equipo industrial. Distribuidor autorizado en Colombia. Solicite su cotización con un asesor de Technofood.</t>
  </si>
  <si>
    <t xml:space="preserve">Divisora Boleadora DUKY 54 Dams – equipo industrial para la industria de alimentos</t>
  </si>
  <si>
    <t xml:space="preserve">divisora-boleadora-con-4-salidas-ddky-70</t>
  </si>
  <si>
    <t xml:space="preserve">Divisora boleadora con 4 salidas DDKY-70</t>
  </si>
  <si>
    <t xml:space="preserve">Divisora Boleadora con 4 Salidas DDKY-70 Dams</t>
  </si>
  <si>
    <t xml:space="preserve">Divisora Boleadora con 4 Salidas DDKY-70 Dams | Technofood</t>
  </si>
  <si>
    <t xml:space="preserve">Divisora Boleadora con 4 Salidas DDKY-70 Dams: equipo industrial. Distribuidor autorizado en Colombia. Solicite su cotización con un asesor de Technofood.</t>
  </si>
  <si>
    <t xml:space="preserve">Divisora Boleadora con 4 Salidas DDKY-70 Dams – equipo industrial para la industria de alimentos</t>
  </si>
  <si>
    <t xml:space="preserve">divisora-boleadora-con-8-salidas-dsky-15</t>
  </si>
  <si>
    <t xml:space="preserve">Divisora boleadora con 8 salidas DSKY-15</t>
  </si>
  <si>
    <t xml:space="preserve">Divisora Boleadora con 8 Salidas DSKY-15 Dams</t>
  </si>
  <si>
    <t xml:space="preserve">Divisora Boleadora con 8 Salidas DSKY-15 Dams | Technofood</t>
  </si>
  <si>
    <t xml:space="preserve">Divisora Boleadora con 8 Salidas DSKY-15 Dams: equipo industrial. Distribuidor autorizado en Colombia. Solicite su cotización con un asesor de Technofood.</t>
  </si>
  <si>
    <t xml:space="preserve">Divisora Boleadora con 8 Salidas DSKY-15 Dams – equipo industrial para la industria de alimentos</t>
  </si>
  <si>
    <t xml:space="preserve">cortadora-horizontal-bdp-xd</t>
  </si>
  <si>
    <t xml:space="preserve">Dovaina</t>
  </si>
  <si>
    <t xml:space="preserve">Cortadora horizontal BDP XD</t>
  </si>
  <si>
    <t xml:space="preserve">Cortadora Horizontal BDP XD Dovaina</t>
  </si>
  <si>
    <t xml:space="preserve">Cortadora Horizontal BDP XD Dovaina | Technofood Colombia</t>
  </si>
  <si>
    <t xml:space="preserve">Cortadora Horizontal BDP XD Dovaina: equipo industrial. Distribuidor autorizado en Colombia. Solicite su cotización con un asesor de Technofood.</t>
  </si>
  <si>
    <t xml:space="preserve">Cortadora Horizontal BDP XD Dovaina – equipo industrial para la industria de alimentos</t>
  </si>
  <si>
    <t xml:space="preserve">empacadora-de-pan-dpk-335xl</t>
  </si>
  <si>
    <t xml:space="preserve">Empacadora de pan DPK-335XL</t>
  </si>
  <si>
    <t xml:space="preserve">Empacadora de Pan DPK-335XL Dovaina</t>
  </si>
  <si>
    <t xml:space="preserve">Empacadora de Pan DPK-335XL Dovaina | Technofood Colombia</t>
  </si>
  <si>
    <t xml:space="preserve">Empacadora de Pan DPK-335XL Dovaina: equipo industrial. Distribuidor autorizado en Colombia. Solicite su cotización con un asesor de Technofood.</t>
  </si>
  <si>
    <t xml:space="preserve">Empacadora de Pan DPK-335XL Dovaina – equipo industrial para la industria de alimentos</t>
  </si>
  <si>
    <t xml:space="preserve">empacadora-de-pan-dpk230</t>
  </si>
  <si>
    <t xml:space="preserve">Empacadora de pan DPK230</t>
  </si>
  <si>
    <t xml:space="preserve">Empacadora de Pan DPK230 Dovaina</t>
  </si>
  <si>
    <t xml:space="preserve">Empacadora de Pan DPK230 Dovaina | Technofood Colombia</t>
  </si>
  <si>
    <t xml:space="preserve">Empacadora de Pan DPK230 Dovaina: equipo industrial. Distribuidor autorizado en Colombia. Solicite su cotización con un asesor de Technofood.</t>
  </si>
  <si>
    <t xml:space="preserve">Empacadora de Pan DPK230 Dovaina – equipo industrial para la industria de alimentos</t>
  </si>
  <si>
    <t xml:space="preserve">rebanadora-de-pan-dp-35</t>
  </si>
  <si>
    <t xml:space="preserve">Rebanadora de pan DP 35</t>
  </si>
  <si>
    <t xml:space="preserve">Rebanadora de Pan DP 35 Dovaina</t>
  </si>
  <si>
    <t xml:space="preserve">Rebanadora de Pan DP 35 Dovaina | Technofood Colombia</t>
  </si>
  <si>
    <t xml:space="preserve">Rebanadora de Pan DP 35 Dovaina: equipo industrial. Distribuidor autorizado en Colombia. Solicite su cotización con un asesor de Technofood.</t>
  </si>
  <si>
    <t xml:space="preserve">Rebanadora de Pan DP 35 Dovaina – equipo industrial para la industria de alimentos</t>
  </si>
  <si>
    <t xml:space="preserve">rebanadora-de-pan-dp-70</t>
  </si>
  <si>
    <t xml:space="preserve">Rebanadora de pan DP 70</t>
  </si>
  <si>
    <t xml:space="preserve">Rebanadora de Pan DP 70 Dovaina</t>
  </si>
  <si>
    <t xml:space="preserve">Rebanadora de Pan DP 70 Dovaina | Technofood Colombia</t>
  </si>
  <si>
    <t xml:space="preserve">Rebanadora de Pan DP 70 Dovaina: equipo industrial. Distribuidor autorizado en Colombia. Solicite su cotización con un asesor de Technofood.</t>
  </si>
  <si>
    <t xml:space="preserve">Rebanadora de Pan DP 70 Dovaina – equipo industrial para la industria de alimentos</t>
  </si>
  <si>
    <t xml:space="preserve">rebanadora-de-pan-dppl55</t>
  </si>
  <si>
    <t xml:space="preserve">Rebanadora de pan DPPL55</t>
  </si>
  <si>
    <t xml:space="preserve">Rebanadora de Pan DPPL55 Dovaina</t>
  </si>
  <si>
    <t xml:space="preserve">Rebanadora de Pan DPPL55 Dovaina | Technofood Colombia</t>
  </si>
  <si>
    <t xml:space="preserve">Rebanadora de Pan DPPL55 Dovaina: equipo industrial. Distribuidor autorizado en Colombia. Solicite su cotización con un asesor de Technofood.</t>
  </si>
  <si>
    <t xml:space="preserve">Rebanadora de Pan DPPL55 Dovaina – equipo industrial para la industria de alimentos</t>
  </si>
  <si>
    <t xml:space="preserve">rebanadora-de-pan-y-aperitivos-tp60</t>
  </si>
  <si>
    <t xml:space="preserve">Rebanadora de pan y aperitivos TP60</t>
  </si>
  <si>
    <t xml:space="preserve">Rebanadora de Pan y Aperitivos TP60 Dovaina</t>
  </si>
  <si>
    <t xml:space="preserve">Rebanadora de Pan y Aperitivos TP60 Dovaina | Technofood</t>
  </si>
  <si>
    <t xml:space="preserve">Rebanadora de Pan y Aperitivos TP60 Dovaina: equipo industrial. Distribuidor autorizado en Colombia. Solicite su cotización con un asesor de Technofood.</t>
  </si>
  <si>
    <t xml:space="preserve">Rebanadora de Pan y Aperitivos TP60 Dovaina – equipo industrial para la industria de alimentos</t>
  </si>
  <si>
    <t xml:space="preserve">abatidor-de-temperatura-10-bandejas-abc-101-hc</t>
  </si>
  <si>
    <t xml:space="preserve">Fagor</t>
  </si>
  <si>
    <t xml:space="preserve">Abatidor de temperatura 10 bandejas ABC 101 HC</t>
  </si>
  <si>
    <t xml:space="preserve">Abatidor de Temperatura 10 Bandejas ABC 101 HC Fagor</t>
  </si>
  <si>
    <t xml:space="preserve">Abatidor de Temperatura 10 Bandejas ABC 101 HC Fagor. Distribuidor autorizado en Colombia. Solicite su cotización con Technofood.</t>
  </si>
  <si>
    <t xml:space="preserve">Abatidor de Temperatura 10 Bandejas ABC 101 HC Fagor – insumo industrial para la industria de alimentos</t>
  </si>
  <si>
    <t xml:space="preserve">abatidor-de-temperatura-10-bandejas-abco-101</t>
  </si>
  <si>
    <t xml:space="preserve">Abatidor de temperatura 10 bandejas ABCO 101</t>
  </si>
  <si>
    <t xml:space="preserve">Abatidor de Temperatura 10 Bandejas ABCO 101 Fagor</t>
  </si>
  <si>
    <t xml:space="preserve">Abatidor de Temperatura 10 Bandejas ABCO 101 Fagor. Distribuidor autorizado en Colombia. Solicite su cotización con Technofood.</t>
  </si>
  <si>
    <t xml:space="preserve">Abatidor de Temperatura 10 Bandejas ABCO 101 Fagor – insumo industrial para la industria de alimentos</t>
  </si>
  <si>
    <t xml:space="preserve">abatidor-de-temperatura-advance</t>
  </si>
  <si>
    <t xml:space="preserve">Abatidor de temperatura Advance</t>
  </si>
  <si>
    <t xml:space="preserve">Abatidor de Temperatura Advance Fagor</t>
  </si>
  <si>
    <t xml:space="preserve">Abatidor de Temperatura Advance Fagor | Technofood Colombia</t>
  </si>
  <si>
    <t xml:space="preserve">Abatidor de Temperatura Advance Fagor: equipo industrial. Distribuidor autorizado en Colombia. Solicite su cotización con un asesor de Technofood.</t>
  </si>
  <si>
    <t xml:space="preserve">Abatidor de Temperatura Advance Fagor – equipo industrial para la industria de alimentos</t>
  </si>
  <si>
    <t xml:space="preserve">abatidor-de-temperatura-concept</t>
  </si>
  <si>
    <t xml:space="preserve">Abatidor de temperatura Concept</t>
  </si>
  <si>
    <t xml:space="preserve">Abatidor de Temperatura Concept Fagor</t>
  </si>
  <si>
    <t xml:space="preserve">Abatidor de Temperatura Concept Fagor | Technofood Colombia</t>
  </si>
  <si>
    <t xml:space="preserve">Abatidor de Temperatura Concept Fagor: equipo industrial. Distribuidor autorizado en Colombia. Solicite su cotización con un asesor de Technofood.</t>
  </si>
  <si>
    <t xml:space="preserve">Abatidor de Temperatura Concept Fagor – equipo industrial para la industria de alimentos</t>
  </si>
  <si>
    <t xml:space="preserve">horno-ikore-concept</t>
  </si>
  <si>
    <t xml:space="preserve">Horno iKore Concept</t>
  </si>
  <si>
    <t xml:space="preserve">Horno iKore Concept Fagor</t>
  </si>
  <si>
    <t xml:space="preserve">Horno iKore Concept Fagor | Technofood Colombia</t>
  </si>
  <si>
    <t xml:space="preserve">Horno iKore Concept Fagor: equipo industrial para la industria de alimentos. Distribuidor autorizado en Colombia. Solicite su cotización con Technofood.</t>
  </si>
  <si>
    <t xml:space="preserve">Horno iKore Concept Fagor – equipo industrial para la industria de alimentos</t>
  </si>
  <si>
    <t xml:space="preserve">horno-ikore-kompact</t>
  </si>
  <si>
    <t xml:space="preserve">Horno iKore Kompact</t>
  </si>
  <si>
    <t xml:space="preserve">Horno iKore Kompact Fagor</t>
  </si>
  <si>
    <t xml:space="preserve">Horno iKore Kompact Fagor | Technofood Colombia</t>
  </si>
  <si>
    <t xml:space="preserve">Horno iKore Kompact Fagor: equipo industrial para la industria de alimentos. Distribuidor autorizado en Colombia. Solicite su cotización con Technofood.</t>
  </si>
  <si>
    <t xml:space="preserve">Horno iKore Kompact Fagor – equipo industrial para la industria de alimentos</t>
  </si>
  <si>
    <t xml:space="preserve">lavautensilios-inova</t>
  </si>
  <si>
    <t xml:space="preserve">Lavautensilios Inova</t>
  </si>
  <si>
    <t xml:space="preserve">Lavautensilios Inova Fagor</t>
  </si>
  <si>
    <t xml:space="preserve">Lavautensilios Inova Fagor | Technofood Colombia</t>
  </si>
  <si>
    <t xml:space="preserve">Lavautensilios Inova Fagor: equipo industrial para la industria de alimentos. Distribuidor autorizado en Colombia. Solicite su cotización con Technofood.</t>
  </si>
  <si>
    <t xml:space="preserve">Lavautensilios Inova Fagor – equipo industrial para la industria de alimentos</t>
  </si>
  <si>
    <t xml:space="preserve">Se agregó la marca al título (no la tenía). Revisar categoría: parece equipo de cocina profesional, hoy dentro de Línea Panadería.</t>
  </si>
  <si>
    <t xml:space="preserve">lavavajillas-frontal-advance</t>
  </si>
  <si>
    <t xml:space="preserve">Lavavajillas frontal Advance</t>
  </si>
  <si>
    <t xml:space="preserve">Lavavajillas Frontal Advance Fagor</t>
  </si>
  <si>
    <t xml:space="preserve">Lavavajillas Frontal Advance Fagor | Technofood Colombia</t>
  </si>
  <si>
    <t xml:space="preserve">Lavavajillas Frontal Advance Fagor: equipo industrial. Distribuidor autorizado en Colombia. Solicite su cotización con un asesor de Technofood.</t>
  </si>
  <si>
    <t xml:space="preserve">Lavavajillas Frontal Advance Fagor – equipo industrial para la industria de alimentos</t>
  </si>
  <si>
    <t xml:space="preserve">nevera-de-congelacion-mun-22g</t>
  </si>
  <si>
    <t xml:space="preserve">Nevera de congelación MUN 22G</t>
  </si>
  <si>
    <t xml:space="preserve">Nevera de Congelación MUN 22G Fagor</t>
  </si>
  <si>
    <t xml:space="preserve">Nevera de Congelación MUN 22G Fagor | Technofood Colombia</t>
  </si>
  <si>
    <t xml:space="preserve">Nevera de Congelación MUN 22G Fagor: equipo industrial. Distribuidor autorizado en Colombia. Solicite su cotización con un asesor de Technofood.</t>
  </si>
  <si>
    <t xml:space="preserve">Nevera de Congelación MUN 22G Fagor – equipo industrial para la industria de alimentos</t>
  </si>
  <si>
    <t xml:space="preserve">sarten-basculante-a-gas-sb-g-915</t>
  </si>
  <si>
    <t xml:space="preserve">Sartén basculante a gas SB-G 915</t>
  </si>
  <si>
    <t xml:space="preserve">Sartén Basculante a Gas SB-G 915 Fagor</t>
  </si>
  <si>
    <t xml:space="preserve">Sartén Basculante a Gas SB-G 915 Fagor | Technofood Colombia</t>
  </si>
  <si>
    <t xml:space="preserve">Sartén Basculante a Gas SB-G 915 Fagor: equipo industrial. Distribuidor autorizado en Colombia. Solicite su cotización con un asesor de Technofood.</t>
  </si>
  <si>
    <t xml:space="preserve">Sartén Basculante a Gas SB-G 915 Fagor – equipo industrial para la industria de alimentos</t>
  </si>
  <si>
    <t xml:space="preserve">sarten-basculante-sencillo-motorizado-sbg-200-m</t>
  </si>
  <si>
    <t xml:space="preserve">Sartén basculante sencillo motorizado SBG-200 M</t>
  </si>
  <si>
    <t xml:space="preserve">Sartén Basculante Sencillo Motorizado SBG-200 M Fagor</t>
  </si>
  <si>
    <t xml:space="preserve">Sartén Basculante Sencillo Motorizado SBG-200 M Fagor. Distribuidor autorizado en Colombia. Solicite su cotización con Technofood.</t>
  </si>
  <si>
    <t xml:space="preserve">Sartén Basculante Sencillo Motorizado SBG-200 M Fagor – equipo industrial para la industria de alimentos</t>
  </si>
  <si>
    <t xml:space="preserve">ultracongelador-rbm-202</t>
  </si>
  <si>
    <t xml:space="preserve">Ultracongelador RBM 202</t>
  </si>
  <si>
    <t xml:space="preserve">Ultracongelador RBM 202 Fagor</t>
  </si>
  <si>
    <t xml:space="preserve">Ultracongelador RBM 202 Fagor | Technofood Colombia</t>
  </si>
  <si>
    <t xml:space="preserve">Ultracongelador RBM 202 Fagor: equipo industrial. Distribuidor autorizado en Colombia. Solicite su cotización con un asesor de Technofood.</t>
  </si>
  <si>
    <t xml:space="preserve">Ultracongelador RBM 202 Fagor – equipo industrial para la industria de alimentos</t>
  </si>
  <si>
    <t xml:space="preserve">batidora-industrial-bfi-150-180-ferneto</t>
  </si>
  <si>
    <t xml:space="preserve">Ferneto</t>
  </si>
  <si>
    <t xml:space="preserve">Batidora industrial BFI 150-180 Ferneto</t>
  </si>
  <si>
    <t xml:space="preserve">Batidora Industrial BFI 150-180 Ferneto</t>
  </si>
  <si>
    <t xml:space="preserve">Batidora Industrial BFI 150-180 Ferneto | Technofood</t>
  </si>
  <si>
    <t xml:space="preserve">Batidora Industrial BFI 150-180 Ferneto: equipo industrial. Distribuidor autorizado en Colombia. Solicite su cotización con un asesor de Technofood.</t>
  </si>
  <si>
    <t xml:space="preserve">Batidora Industrial BFI 150-180 Ferneto – equipo industrial para la industria de alimentos</t>
  </si>
  <si>
    <t xml:space="preserve">batidora-industrial-bti-100-140-ferneto</t>
  </si>
  <si>
    <t xml:space="preserve">Batidora industrial BTI 100-140 Ferneto</t>
  </si>
  <si>
    <t xml:space="preserve">Batidora Industrial BTI 100-140 Ferneto</t>
  </si>
  <si>
    <t xml:space="preserve">Batidora Industrial BTI 100-140 Ferneto | Technofood</t>
  </si>
  <si>
    <t xml:space="preserve">Batidora Industrial BTI 100-140 Ferneto: equipo industrial. Distribuidor autorizado en Colombia. Solicite su cotización con un asesor de Technofood.</t>
  </si>
  <si>
    <t xml:space="preserve">Batidora Industrial BTI 100-140 Ferneto – equipo industrial para la industria de alimentos</t>
  </si>
  <si>
    <t xml:space="preserve">camara-de-fermentacion-acc246-ferneto</t>
  </si>
  <si>
    <t xml:space="preserve">Cámara de fermentación ACC246 Ferneto</t>
  </si>
  <si>
    <t xml:space="preserve">Cámara de Fermentación ACC246 Ferneto</t>
  </si>
  <si>
    <t xml:space="preserve">Cámara de Fermentación ACC246 Ferneto | Technofood Colombia</t>
  </si>
  <si>
    <t xml:space="preserve">Cámara de Fermentación ACC246 Ferneto: equipo industrial. Distribuidor autorizado en Colombia. Solicite su cotización con un asesor de Technofood.</t>
  </si>
  <si>
    <t xml:space="preserve">Cámara de Fermentación ACC246 Ferneto – equipo industrial para la industria de alimentos</t>
  </si>
  <si>
    <t xml:space="preserve">divisora-automatica-daa400-ferneto</t>
  </si>
  <si>
    <t xml:space="preserve">Divisora automática DAA400 Ferneto</t>
  </si>
  <si>
    <t xml:space="preserve">Divisora Automática DAA400 Ferneto</t>
  </si>
  <si>
    <t xml:space="preserve">Divisora Automática DAA400 Ferneto | Technofood Colombia</t>
  </si>
  <si>
    <t xml:space="preserve">Divisora Automática DAA400 Ferneto: equipo industrial. Distribuidor autorizado en Colombia. Solicite su cotización con un asesor de Technofood.</t>
  </si>
  <si>
    <t xml:space="preserve">Divisora Automática DAA400 Ferneto – equipo industrial para la industria de alimentos</t>
  </si>
  <si>
    <t xml:space="preserve">divisora-manual-dmf830-ferneto</t>
  </si>
  <si>
    <t xml:space="preserve">Divisora manual DMF830 Ferneto</t>
  </si>
  <si>
    <t xml:space="preserve">Divisora Manual DMF830 Ferneto</t>
  </si>
  <si>
    <t xml:space="preserve">Divisora Manual DMF830 Ferneto | Technofood Colombia</t>
  </si>
  <si>
    <t xml:space="preserve">Divisora Manual DMF830 Ferneto: equipo industrial. Distribuidor autorizado en Colombia. Solicite su cotización con un asesor de Technofood.</t>
  </si>
  <si>
    <t xml:space="preserve">Divisora Manual DMF830 Ferneto – equipo industrial para la industria de alimentos</t>
  </si>
  <si>
    <t xml:space="preserve">divisora-semiautomatica-dsa400-ferneto</t>
  </si>
  <si>
    <t xml:space="preserve">Divisora semiautomática DSA400 Ferneto</t>
  </si>
  <si>
    <t xml:space="preserve">Divisora Semiautomática DSA400 Ferneto</t>
  </si>
  <si>
    <t xml:space="preserve">Divisora Semiautomática DSA400 Ferneto | Technofood Colombia</t>
  </si>
  <si>
    <t xml:space="preserve">Divisora Semiautomática DSA400 Ferneto: equipo industrial. Distribuidor autorizado en Colombia. Solicite su cotización con un asesor de Technofood.</t>
  </si>
  <si>
    <t xml:space="preserve">Divisora Semiautomática DSA400 Ferneto – equipo industrial para la industria de alimentos</t>
  </si>
  <si>
    <t xml:space="preserve">enfriador-de-agua-raf-ferneto</t>
  </si>
  <si>
    <t xml:space="preserve">Enfriador de agua RAF Ferneto</t>
  </si>
  <si>
    <t xml:space="preserve">Enfriador de Agua RAF Ferneto</t>
  </si>
  <si>
    <t xml:space="preserve">Enfriador de Agua RAF Ferneto | Technofood Colombia</t>
  </si>
  <si>
    <t xml:space="preserve">Enfriador de Agua RAF Ferneto: equipo industrial. Distribuidor autorizado en Colombia. Solicite su cotización con un asesor de Technofood.</t>
  </si>
  <si>
    <t xml:space="preserve">Enfriador de Agua RAF Ferneto – equipo industrial para la industria de alimentos</t>
  </si>
  <si>
    <t xml:space="preserve">formadora-de-baguetes-fvf-800-ferneto</t>
  </si>
  <si>
    <t xml:space="preserve">Formadora de baguetes FVF 800 Ferneto</t>
  </si>
  <si>
    <t xml:space="preserve">Formadora de Baguetes FVF 800 Ferneto</t>
  </si>
  <si>
    <t xml:space="preserve">Formadora de Baguetes FVF 800 Ferneto | Technofood Colombia</t>
  </si>
  <si>
    <t xml:space="preserve">Formadora de Baguetes FVF 800 Ferneto: equipo industrial. Distribuidor autorizado en Colombia. Solicite su cotización con un asesor de Technofood.</t>
  </si>
  <si>
    <t xml:space="preserve">Formadora de Baguetes FVF 800 Ferneto – equipo industrial para la industria de alimentos</t>
  </si>
  <si>
    <t xml:space="preserve">laminadora-lmi-732-ferneto</t>
  </si>
  <si>
    <t xml:space="preserve">Laminadora LMI 732 Ferneto</t>
  </si>
  <si>
    <t xml:space="preserve">Laminadora LMI 732 Ferneto | Technofood Colombia</t>
  </si>
  <si>
    <t xml:space="preserve">Laminadora LMI 732 Ferneto: equipo industrial para la industria de alimentos. Distribuidor autorizado en Colombia. Solicite su cotización con Technofood.</t>
  </si>
  <si>
    <t xml:space="preserve">Laminadora LMI 732 Ferneto – equipo industrial para la industria de alimentos</t>
  </si>
  <si>
    <t xml:space="preserve">amasadora-ae10-inoxforni</t>
  </si>
  <si>
    <t xml:space="preserve">Inoxforni</t>
  </si>
  <si>
    <t xml:space="preserve">Amasadora AE10 Inoxforni</t>
  </si>
  <si>
    <t xml:space="preserve">Amasadora AE10 Inoxforni | Technofood Colombia</t>
  </si>
  <si>
    <t xml:space="preserve">Amasadora AE10 Inoxforni: equipo industrial para la industria de alimentos. Distribuidor autorizado en Colombia. Solicite su cotización con Technofood.</t>
  </si>
  <si>
    <t xml:space="preserve">Amasadora AE10 Inoxforni – equipo industrial para la industria de alimentos</t>
  </si>
  <si>
    <t xml:space="preserve">amasadora-ae30-inoxforni</t>
  </si>
  <si>
    <t xml:space="preserve">Amasadora AE30 Inoxforni</t>
  </si>
  <si>
    <t xml:space="preserve">Amasadora AE30 Inoxforni | Technofood Colombia</t>
  </si>
  <si>
    <t xml:space="preserve">Amasadora AE30 Inoxforni: equipo industrial para la industria de alimentos. Distribuidor autorizado en Colombia. Solicite su cotización con Technofood.</t>
  </si>
  <si>
    <t xml:space="preserve">Amasadora AE30 Inoxforni – equipo industrial para la industria de alimentos</t>
  </si>
  <si>
    <t xml:space="preserve">batidora-bp10-inoxforni</t>
  </si>
  <si>
    <t xml:space="preserve">Batidora BP10 Inoxforni</t>
  </si>
  <si>
    <t xml:space="preserve">Batidora BP10 Inoxforni | Technofood Colombia</t>
  </si>
  <si>
    <t xml:space="preserve">Batidora BP10 Inoxforni: equipo industrial para la industria de alimentos. Distribuidor autorizado en Colombia. Solicite su cotización con Technofood.</t>
  </si>
  <si>
    <t xml:space="preserve">Batidora BP10 Inoxforni – equipo industrial para la industria de alimentos</t>
  </si>
  <si>
    <t xml:space="preserve">batidora-bp20-inoxforni</t>
  </si>
  <si>
    <t xml:space="preserve">Batidora BP20 Inoxforni</t>
  </si>
  <si>
    <t xml:space="preserve">Batidora BP20 Inoxforni | Technofood Colombia</t>
  </si>
  <si>
    <t xml:space="preserve">Batidora BP20 Inoxforni: equipo industrial para la industria de alimentos. Distribuidor autorizado en Colombia. Solicite su cotización con Technofood.</t>
  </si>
  <si>
    <t xml:space="preserve">Batidora BP20 Inoxforni – equipo industrial para la industria de alimentos</t>
  </si>
  <si>
    <t xml:space="preserve">batidora-bp7a-inoxforni</t>
  </si>
  <si>
    <t xml:space="preserve">Batidora BP7A Inoxforni</t>
  </si>
  <si>
    <t xml:space="preserve">Batidora BP7A Inoxforni | Technofood Colombia</t>
  </si>
  <si>
    <t xml:space="preserve">Batidora BP7A Inoxforni: equipo industrial para la industria de alimentos. Distribuidor autorizado en Colombia. Solicite su cotización con Technofood.</t>
  </si>
  <si>
    <t xml:space="preserve">Batidora BP7A Inoxforni – equipo industrial para la industria de alimentos</t>
  </si>
  <si>
    <t xml:space="preserve">camara-de-fermentacion-leudo-l20-inoxforni</t>
  </si>
  <si>
    <t xml:space="preserve">Cámara de fermentación leudo L20 Inoxforni</t>
  </si>
  <si>
    <t xml:space="preserve">Cámara de Fermentación Leudo L20 Inoxforni</t>
  </si>
  <si>
    <t xml:space="preserve">Cámara de Fermentación Leudo L20 Inoxforni | Technofood</t>
  </si>
  <si>
    <t xml:space="preserve">Cámara de Fermentación Leudo L20 Inoxforni: equipo industrial. Distribuidor autorizado en Colombia. Solicite su cotización con un asesor de Technofood.</t>
  </si>
  <si>
    <t xml:space="preserve">Cámara de Fermentación Leudo L20 Inoxforni – equipo industrial para la industria de alimentos</t>
  </si>
  <si>
    <t xml:space="preserve">camara-de-fermentacion-leudo-l6-inoxforni</t>
  </si>
  <si>
    <t xml:space="preserve">Cámara de fermentación leudo L6 Inoxforni</t>
  </si>
  <si>
    <t xml:space="preserve">Cámara de Fermentación Leudo L6 Inoxforni</t>
  </si>
  <si>
    <t xml:space="preserve">Cámara de Fermentación Leudo L6 Inoxforni | Technofood</t>
  </si>
  <si>
    <t xml:space="preserve">Cámara de Fermentación Leudo L6 Inoxforni: equipo industrial. Distribuidor autorizado en Colombia. Solicite su cotización con un asesor de Technofood.</t>
  </si>
  <si>
    <t xml:space="preserve">Cámara de Fermentación Leudo L6 Inoxforni – equipo industrial para la industria de alimentos</t>
  </si>
  <si>
    <t xml:space="preserve">horno-a5-gas-y-electrico-inoxforni</t>
  </si>
  <si>
    <t xml:space="preserve">Horno A5 gas y eléctrico Inoxforni</t>
  </si>
  <si>
    <t xml:space="preserve">Horno A5 Gas y Eléctrico Inoxforni</t>
  </si>
  <si>
    <t xml:space="preserve">Horno A5 Gas y Eléctrico Inoxforni | Technofood Colombia</t>
  </si>
  <si>
    <t xml:space="preserve">Horno A5 Gas y Eléctrico Inoxforni: equipo industrial. Distribuidor autorizado en Colombia. Solicite su cotización con un asesor de Technofood.</t>
  </si>
  <si>
    <t xml:space="preserve">Horno A5 Gas y Eléctrico Inoxforni – equipo industrial para la industria de alimentos</t>
  </si>
  <si>
    <t xml:space="preserve">horno-a6-gas-y-electrico-inoxforni</t>
  </si>
  <si>
    <t xml:space="preserve">Horno A6 gas y eléctrico Inoxforni</t>
  </si>
  <si>
    <t xml:space="preserve">Horno A6 Gas y Eléctrico Inoxforni</t>
  </si>
  <si>
    <t xml:space="preserve">Horno A6 Gas y Eléctrico Inoxforni | Technofood Colombia</t>
  </si>
  <si>
    <t xml:space="preserve">Horno A6 Gas y Eléctrico Inoxforni: equipo industrial. Distribuidor autorizado en Colombia. Solicite su cotización con un asesor de Technofood.</t>
  </si>
  <si>
    <t xml:space="preserve">Horno A6 Gas y Eléctrico Inoxforni – equipo industrial para la industria de alimentos</t>
  </si>
  <si>
    <t xml:space="preserve">horno-h20-a2-1-inoxforni</t>
  </si>
  <si>
    <t xml:space="preserve">Horno H20 A2/1 Inoxforni</t>
  </si>
  <si>
    <t xml:space="preserve">Horno H20 A2/1 Inoxforni | Technofood Colombia</t>
  </si>
  <si>
    <t xml:space="preserve">Horno H20 A2/1 Inoxforni: equipo industrial para la industria de alimentos. Distribuidor autorizado en Colombia. Solicite su cotización con Technofood.</t>
  </si>
  <si>
    <t xml:space="preserve">Horno H20 A2/1 Inoxforni – equipo industrial para la industria de alimentos</t>
  </si>
  <si>
    <t xml:space="preserve">horno-h20-gas-y-electrico-inoxforni</t>
  </si>
  <si>
    <t xml:space="preserve">Horno H20 gas y eléctrico Inoxforni</t>
  </si>
  <si>
    <t xml:space="preserve">Horno H20 Gas y Eléctrico Inoxforni</t>
  </si>
  <si>
    <t xml:space="preserve">Horno H20 Gas y Eléctrico Inoxforni | Technofood Colombia</t>
  </si>
  <si>
    <t xml:space="preserve">Horno H20 Gas y Eléctrico Inoxforni: equipo industrial. Distribuidor autorizado en Colombia. Solicite su cotización con un asesor de Technofood.</t>
  </si>
  <si>
    <t xml:space="preserve">Horno H20 Gas y Eléctrico Inoxforni – equipo industrial para la industria de alimentos</t>
  </si>
  <si>
    <t xml:space="preserve">amasadora-master-classic-logiudice</t>
  </si>
  <si>
    <t xml:space="preserve">Logiudice</t>
  </si>
  <si>
    <t xml:space="preserve">Amasadora Master Classic Logiudice</t>
  </si>
  <si>
    <t xml:space="preserve">Amasadora Master Classic Logiudice | Technofood Colombia</t>
  </si>
  <si>
    <t xml:space="preserve">Amasadora Master Classic Logiudice: equipo industrial. Distribuidor autorizado en Colombia. Solicite su cotización con un asesor de Technofood.</t>
  </si>
  <si>
    <t xml:space="preserve">Amasadora Master Classic Logiudice – equipo industrial para la industria de alimentos</t>
  </si>
  <si>
    <t xml:space="preserve">amasadora-master-mix-ar-logiudice</t>
  </si>
  <si>
    <t xml:space="preserve">Amasadora Master Mix AR Logiudice</t>
  </si>
  <si>
    <t xml:space="preserve">Amasadora Master Mix AR Logiudice | Technofood Colombia</t>
  </si>
  <si>
    <t xml:space="preserve">Amasadora Master Mix AR Logiudice: equipo industrial. Distribuidor autorizado en Colombia. Solicite su cotización con un asesor de Technofood.</t>
  </si>
  <si>
    <t xml:space="preserve">Amasadora Master Mix AR Logiudice – equipo industrial para la industria de alimentos</t>
  </si>
  <si>
    <t xml:space="preserve">amasadora-master-plus-logiudice</t>
  </si>
  <si>
    <t xml:space="preserve">Amasadora Master Plus Logiudice</t>
  </si>
  <si>
    <t xml:space="preserve">Amasadora Master Plus Logiudice | Technofood Colombia</t>
  </si>
  <si>
    <t xml:space="preserve">Amasadora Master Plus Logiudice: equipo industrial. Distribuidor autorizado en Colombia. Solicite su cotización con un asesor de Technofood.</t>
  </si>
  <si>
    <t xml:space="preserve">Amasadora Master Plus Logiudice – equipo industrial para la industria de alimentos</t>
  </si>
  <si>
    <t xml:space="preserve">amasadora-de-espiral-iris-arb-ars-con-volcador-logiudice</t>
  </si>
  <si>
    <t xml:space="preserve">Amasadora de espiral Iris ARB ARS con volcador Logiudice</t>
  </si>
  <si>
    <t xml:space="preserve">Amasadora de Espiral Iris ARB ARS con Volcador Logiudice</t>
  </si>
  <si>
    <t xml:space="preserve">Amasadora de Espiral Iris ARB ARS con Volcador Logiudice. Distribuidor autorizado en Colombia. Solicite su cotización con Technofood.</t>
  </si>
  <si>
    <t xml:space="preserve">Amasadora de Espiral Iris ARB ARS con Volcador Logiudice – equipo industrial para la industria de alimentos</t>
  </si>
  <si>
    <t xml:space="preserve">amasadora-de-espiral-iris-logiudice</t>
  </si>
  <si>
    <t xml:space="preserve">Amasadora de espiral Iris Logiudice</t>
  </si>
  <si>
    <t xml:space="preserve">Amasadora de Espiral Iris Logiudice</t>
  </si>
  <si>
    <t xml:space="preserve">Amasadora de Espiral Iris Logiudice | Technofood Colombia</t>
  </si>
  <si>
    <t xml:space="preserve">Amasadora de Espiral Iris Logiudice: equipo industrial. Distribuidor autorizado en Colombia. Solicite su cotización con un asesor de Technofood.</t>
  </si>
  <si>
    <t xml:space="preserve">Amasadora de Espiral Iris Logiudice – equipo industrial para la industria de alimentos</t>
  </si>
  <si>
    <t xml:space="preserve">camara-de-fermentacion-rise-logiudice</t>
  </si>
  <si>
    <t xml:space="preserve">Cámara de fermentación Rise Logiudice</t>
  </si>
  <si>
    <t xml:space="preserve">Cámara de Fermentación Rise Logiudice</t>
  </si>
  <si>
    <t xml:space="preserve">Cámara de Fermentación Rise Logiudice | Technofood Colombia</t>
  </si>
  <si>
    <t xml:space="preserve">Cámara de Fermentación Rise Logiudice: equipo industrial. Distribuidor autorizado en Colombia. Solicite su cotización con un asesor de Technofood.</t>
  </si>
  <si>
    <t xml:space="preserve">Cámara de Fermentación Rise Logiudice – equipo industrial para la industria de alimentos</t>
  </si>
  <si>
    <t xml:space="preserve">camara-de-fermentacion-para-carros-logiudice</t>
  </si>
  <si>
    <t xml:space="preserve">Cámara de fermentación para carros Logiudice</t>
  </si>
  <si>
    <t xml:space="preserve">Cámara de Fermentación para Carros Logiudice</t>
  </si>
  <si>
    <t xml:space="preserve">Cámara de Fermentación para Carros Logiudice | Technofood</t>
  </si>
  <si>
    <t xml:space="preserve">Cámara de Fermentación para Carros Logiudice: equipo industrial. Distribuidor autorizado en Colombia. Solicite su cotización con un asesor de Technofood.</t>
  </si>
  <si>
    <t xml:space="preserve">Cámara de Fermentación para Carros Logiudice – equipo industrial para la industria de alimentos</t>
  </si>
  <si>
    <t xml:space="preserve">elevador-tower-sr2-logiudice</t>
  </si>
  <si>
    <t xml:space="preserve">Elevador Tower SR2 Logiudice</t>
  </si>
  <si>
    <t xml:space="preserve">Elevador Tower SR2 Logiudice | Technofood Colombia</t>
  </si>
  <si>
    <t xml:space="preserve">Elevador Tower SR2 Logiudice: equipo industrial para la industria de alimentos. Distribuidor autorizado en Colombia. Solicite su cotización con Technofood.</t>
  </si>
  <si>
    <t xml:space="preserve">Elevador Tower SR2 Logiudice – equipo industrial para la industria de alimentos</t>
  </si>
  <si>
    <t xml:space="preserve">horno-fox-18t-80-80-logiudice</t>
  </si>
  <si>
    <t xml:space="preserve">Horno Fox 18T 80/80 Logiudice</t>
  </si>
  <si>
    <t xml:space="preserve">Horno Fox 18T 80/80 Logiudice | Technofood Colombia</t>
  </si>
  <si>
    <t xml:space="preserve">Horno Fox 18T 80/80 Logiudice: equipo industrial. Distribuidor autorizado en Colombia. Solicite su cotización con un asesor de Technofood.</t>
  </si>
  <si>
    <t xml:space="preserve">Horno Fox 18T 80/80 Logiudice – equipo industrial para la industria de alimentos</t>
  </si>
  <si>
    <t xml:space="preserve">horno-ministar-msr-logiudice</t>
  </si>
  <si>
    <t xml:space="preserve">Horno Ministar MSR Logiudice</t>
  </si>
  <si>
    <t xml:space="preserve">Horno Ministar MSR Logiudice | Technofood Colombia</t>
  </si>
  <si>
    <t xml:space="preserve">Horno Ministar MSR Logiudice: equipo industrial para la industria de alimentos. Distribuidor autorizado en Colombia. Solicite su cotización con Technofood.</t>
  </si>
  <si>
    <t xml:space="preserve">Horno Ministar MSR Logiudice – equipo industrial para la industria de alimentos</t>
  </si>
  <si>
    <t xml:space="preserve">horno-modus-lfm-logiudice</t>
  </si>
  <si>
    <t xml:space="preserve">Horno Modus LFM Logiudice</t>
  </si>
  <si>
    <t xml:space="preserve">Horno Modus LFM Logiudice | Technofood Colombia</t>
  </si>
  <si>
    <t xml:space="preserve">Horno Modus LFM Logiudice: equipo industrial para la industria de alimentos. Distribuidor autorizado en Colombia. Solicite su cotización con Technofood.</t>
  </si>
  <si>
    <t xml:space="preserve">Horno Modus LFM Logiudice – equipo industrial para la industria de alimentos</t>
  </si>
  <si>
    <t xml:space="preserve">horno-stream-classic-logiudice</t>
  </si>
  <si>
    <t xml:space="preserve">Horno Stream Classic Logiudice</t>
  </si>
  <si>
    <t xml:space="preserve">Horno Stream Classic Logiudice | Technofood Colombia</t>
  </si>
  <si>
    <t xml:space="preserve">Horno Stream Classic Logiudice: equipo industrial. Distribuidor autorizado en Colombia. Solicite su cotización con un asesor de Technofood.</t>
  </si>
  <si>
    <t xml:space="preserve">Horno Stream Classic Logiudice – equipo industrial para la industria de alimentos</t>
  </si>
  <si>
    <t xml:space="preserve">batidora-mezcladora-planetary-mixer-80-matas</t>
  </si>
  <si>
    <t xml:space="preserve">Matas</t>
  </si>
  <si>
    <t xml:space="preserve">Batidora mezcladora Planetary Mixer 80 Matas</t>
  </si>
  <si>
    <t xml:space="preserve">Batidora Mezcladora Planetary Mixer 80 Matas</t>
  </si>
  <si>
    <t xml:space="preserve">Batidora Mezcladora Planetary Mixer 80 Matas | Technofood</t>
  </si>
  <si>
    <t xml:space="preserve">Batidora Mezcladora Planetary Mixer 80 Matas: equipo industrial. Distribuidor autorizado en Colombia. Solicite su cotización con un asesor de Technofood.</t>
  </si>
  <si>
    <t xml:space="preserve">Batidora Mezcladora Planetary Mixer 80 Matas – equipo industrial para la industria de alimentos</t>
  </si>
  <si>
    <t xml:space="preserve">batidora-mezcladora-planetario-pm-40-matas</t>
  </si>
  <si>
    <t xml:space="preserve">Batidora mezcladora planetario PM 40 Matas</t>
  </si>
  <si>
    <t xml:space="preserve">Batidora Mezcladora Planetario PM 40 Matas</t>
  </si>
  <si>
    <t xml:space="preserve">Batidora Mezcladora Planetario PM 40 Matas | Technofood</t>
  </si>
  <si>
    <t xml:space="preserve">Batidora Mezcladora Planetario PM 40 Matas: equipo industrial. Distribuidor autorizado en Colombia. Solicite su cotización con un asesor de Technofood.</t>
  </si>
  <si>
    <t xml:space="preserve">Batidora Mezcladora Planetario PM 40 Matas – equipo industrial para la industria de alimentos</t>
  </si>
  <si>
    <t xml:space="preserve">boleadora-conica-hkc-01-matas</t>
  </si>
  <si>
    <t xml:space="preserve">Boleadora cónica HKC 01 Matas</t>
  </si>
  <si>
    <t xml:space="preserve">Boleadora Cónica HKC 01 Matas</t>
  </si>
  <si>
    <t xml:space="preserve">Boleadora Cónica HKC 01 Matas | Technofood Colombia</t>
  </si>
  <si>
    <t xml:space="preserve">Boleadora Cónica HKC 01 Matas: equipo industrial. Distribuidor autorizado en Colombia. Solicite su cotización con un asesor de Technofood.</t>
  </si>
  <si>
    <t xml:space="preserve">Boleadora Cónica HKC 01 Matas – equipo industrial para la industria de alimentos</t>
  </si>
  <si>
    <t xml:space="preserve">cortadora-de-pan-efe-01-matas</t>
  </si>
  <si>
    <t xml:space="preserve">Cortadora de pan EFE 01 Matas</t>
  </si>
  <si>
    <t xml:space="preserve">Cortadora de Pan EFE 01 Matas</t>
  </si>
  <si>
    <t xml:space="preserve">Cortadora de Pan EFE 01 Matas | Technofood Colombia</t>
  </si>
  <si>
    <t xml:space="preserve">Cortadora de Pan EFE 01 Matas: equipo industrial. Distribuidor autorizado en Colombia. Solicite su cotización con un asesor de Technofood.</t>
  </si>
  <si>
    <t xml:space="preserve">Cortadora de Pan EFE 01 Matas – equipo industrial para la industria de alimentos</t>
  </si>
  <si>
    <t xml:space="preserve">cortadora-de-pan-efe-09-hercules-matas</t>
  </si>
  <si>
    <t xml:space="preserve">Cortadora de pan EFE 09 Hércules Matas</t>
  </si>
  <si>
    <t xml:space="preserve">Cortadora de Pan EFE 09 Hércules Matas</t>
  </si>
  <si>
    <t xml:space="preserve">Cortadora de Pan EFE 09 Hércules Matas | Technofood Colombia</t>
  </si>
  <si>
    <t xml:space="preserve">Cortadora de Pan EFE 09 Hércules Matas: equipo industrial. Distribuidor autorizado en Colombia. Solicite su cotización con un asesor de Technofood.</t>
  </si>
  <si>
    <t xml:space="preserve">Cortadora de Pan EFE 09 Hércules Matas – equipo industrial para la industria de alimentos</t>
  </si>
  <si>
    <t xml:space="preserve">redondeador-de-masa-hkc-02-matas</t>
  </si>
  <si>
    <t xml:space="preserve">Redondeador de masa HKC 02 Matas</t>
  </si>
  <si>
    <t xml:space="preserve">Redondeador de Masa HKC 02 Matas</t>
  </si>
  <si>
    <t xml:space="preserve">Redondeador de Masa HKC 02 Matas | Technofood Colombia</t>
  </si>
  <si>
    <t xml:space="preserve">Redondeador de Masa HKC 02 Matas: equipo industrial. Distribuidor autorizado en Colombia. Solicite su cotización con un asesor de Technofood.</t>
  </si>
  <si>
    <t xml:space="preserve">Redondeador de Masa HKC 02 Matas – equipo industrial para la industria de alimentos</t>
  </si>
  <si>
    <t xml:space="preserve">tamizadora-de-harina-un-01-matas</t>
  </si>
  <si>
    <t xml:space="preserve">Tamizadora de harina UN 01 Matas</t>
  </si>
  <si>
    <t xml:space="preserve">Tamizadora de Harina un 01 Matas</t>
  </si>
  <si>
    <t xml:space="preserve">Tamizadora de Harina un 01 Matas | Technofood Colombia</t>
  </si>
  <si>
    <t xml:space="preserve">Tamizadora de Harina un 01 Matas: equipo industrial. Distribuidor autorizado en Colombia. Solicite su cotización con un asesor de Technofood.</t>
  </si>
  <si>
    <t xml:space="preserve">Tamizadora de Harina un 01 Matas – equipo industrial para la industria de alimentos</t>
  </si>
  <si>
    <t xml:space="preserve">empacadora-flow-pack-ostippo-mayma</t>
  </si>
  <si>
    <t xml:space="preserve">Empacadora flow pack Ostippo Mayma</t>
  </si>
  <si>
    <t xml:space="preserve">Empacadora Flow Pack Ostippo Mayma</t>
  </si>
  <si>
    <t xml:space="preserve">Empacadora Flow Pack Ostippo Mayma | Technofood Colombia</t>
  </si>
  <si>
    <t xml:space="preserve">Empacadora Flow Pack Ostippo Mayma: equipo industrial. Distribuidor autorizado en Colombia. Solicite su cotización con un asesor de Technofood.</t>
  </si>
  <si>
    <t xml:space="preserve">Empacadora Flow Pack Ostippo Mayma – equipo industrial para la industria de alimentos</t>
  </si>
  <si>
    <t xml:space="preserve">horno-fast-tma</t>
  </si>
  <si>
    <t xml:space="preserve">Mecateck</t>
  </si>
  <si>
    <t xml:space="preserve">Horno Fast TMA</t>
  </si>
  <si>
    <t xml:space="preserve">Horno Fast TMA Mecateck</t>
  </si>
  <si>
    <t xml:space="preserve">Horno Fast TMA Mecateck | Technofood Colombia</t>
  </si>
  <si>
    <t xml:space="preserve">Horno Fast TMA Mecateck: equipo industrial para la industria de alimentos. Distribuidor autorizado en Colombia. Solicite su cotización con Technofood.</t>
  </si>
  <si>
    <t xml:space="preserve">Horno Fast TMA Mecateck – equipo industrial para la industria de alimentos</t>
  </si>
  <si>
    <t xml:space="preserve">horno-tmt-silver</t>
  </si>
  <si>
    <t xml:space="preserve">Horno TMT Silver</t>
  </si>
  <si>
    <t xml:space="preserve">Horno TMT Silver Mecateck</t>
  </si>
  <si>
    <t xml:space="preserve">Horno TMT Silver Mecateck | Technofood Colombia</t>
  </si>
  <si>
    <t xml:space="preserve">Horno TMT Silver Mecateck: equipo industrial para la industria de alimentos. Distribuidor autorizado en Colombia. Solicite su cotización con Technofood.</t>
  </si>
  <si>
    <t xml:space="preserve">Horno TMT Silver Mecateck – equipo industrial para la industria de alimentos</t>
  </si>
  <si>
    <t xml:space="preserve">horno-de-tunel-flex-tc-silver</t>
  </si>
  <si>
    <t xml:space="preserve">Horno de túnel Flex TC Silver</t>
  </si>
  <si>
    <t xml:space="preserve">Horno de Túnel Flex TC Silver Mecateck</t>
  </si>
  <si>
    <t xml:space="preserve">Horno de Túnel Flex TC Silver Mecateck | Technofood Colombia</t>
  </si>
  <si>
    <t xml:space="preserve">Horno de Túnel Flex TC Silver Mecateck: equipo industrial. Distribuidor autorizado en Colombia. Solicite su cotización con un asesor de Technofood.</t>
  </si>
  <si>
    <t xml:space="preserve">Horno de Túnel Flex TC Silver Mecateck – equipo industrial para la industria de alimentos</t>
  </si>
  <si>
    <t xml:space="preserve">amasadora-otto-mobil</t>
  </si>
  <si>
    <t xml:space="preserve">Memak</t>
  </si>
  <si>
    <t xml:space="preserve">Amasadora Otto Mobil</t>
  </si>
  <si>
    <t xml:space="preserve">Amasadora Otto Mobil Memak</t>
  </si>
  <si>
    <t xml:space="preserve">Amasadora Otto Mobil Memak | Technofood Colombia</t>
  </si>
  <si>
    <t xml:space="preserve">Amasadora Otto Mobil Memak: equipo industrial para la industria de alimentos. Distribuidor autorizado en Colombia. Solicite su cotización con Technofood.</t>
  </si>
  <si>
    <t xml:space="preserve">Amasadora Otto Mobil Memak – equipo industrial para la industria de alimentos</t>
  </si>
  <si>
    <t xml:space="preserve">boleadora-conica-cr</t>
  </si>
  <si>
    <t xml:space="preserve">Boleadora cónica CR</t>
  </si>
  <si>
    <t xml:space="preserve">Boleadora Cónica CR Memak</t>
  </si>
  <si>
    <t xml:space="preserve">Boleadora Cónica CR Memak | Technofood Colombia</t>
  </si>
  <si>
    <t xml:space="preserve">Boleadora Cónica CR Memak: equipo industrial para la industria de alimentos. Distribuidor autorizado en Colombia. Solicite su cotización con Technofood.</t>
  </si>
  <si>
    <t xml:space="preserve">Boleadora Cónica CR Memak – equipo industrial para la industria de alimentos</t>
  </si>
  <si>
    <t xml:space="preserve">boleadora-conica-sonic</t>
  </si>
  <si>
    <t xml:space="preserve">Boleadora cónica Sonic</t>
  </si>
  <si>
    <t xml:space="preserve">Boleadora Cónica Sonic Memak</t>
  </si>
  <si>
    <t xml:space="preserve">Boleadora Cónica Sonic Memak | Technofood Colombia</t>
  </si>
  <si>
    <t xml:space="preserve">Boleadora Cónica Sonic Memak: equipo industrial para la industria de alimentos. Distribuidor autorizado en Colombia. Solicite su cotización con Technofood.</t>
  </si>
  <si>
    <t xml:space="preserve">Boleadora Cónica Sonic Memak – equipo industrial para la industria de alimentos</t>
  </si>
  <si>
    <t xml:space="preserve">camara-de-reposo-ipp</t>
  </si>
  <si>
    <t xml:space="preserve">Cámara de reposo IPP</t>
  </si>
  <si>
    <t xml:space="preserve">Cámara de Reposo IPP Memak</t>
  </si>
  <si>
    <t xml:space="preserve">Cámara de Reposo IPP Memak | Technofood Colombia</t>
  </si>
  <si>
    <t xml:space="preserve">Cámara de Reposo IPP Memak: equipo industrial para la industria de alimentos. Distribuidor autorizado en Colombia. Solicite su cotización con Technofood.</t>
  </si>
  <si>
    <t xml:space="preserve">Cámara de Reposo IPP Memak – equipo industrial para la industria de alimentos</t>
  </si>
  <si>
    <t xml:space="preserve">divisora-de-masa-volumetrica-vdd</t>
  </si>
  <si>
    <t xml:space="preserve">Divisora de masa volumétrica VDD</t>
  </si>
  <si>
    <t xml:space="preserve">Divisora de Masa Volumétrica VDD Memak</t>
  </si>
  <si>
    <t xml:space="preserve">Divisora de Masa Volumétrica VDD Memak | Technofood Colombia</t>
  </si>
  <si>
    <t xml:space="preserve">Divisora de Masa Volumétrica VDD Memak: equipo industrial. Distribuidor autorizado en Colombia. Solicite su cotización con un asesor de Technofood.</t>
  </si>
  <si>
    <t xml:space="preserve">Divisora de Masa Volumétrica VDD Memak – equipo industrial para la industria de alimentos</t>
  </si>
  <si>
    <t xml:space="preserve">divisora-pesadora-ponder</t>
  </si>
  <si>
    <t xml:space="preserve">Divisora pesadora Ponder</t>
  </si>
  <si>
    <t xml:space="preserve">Divisora Pesadora Ponder Memak</t>
  </si>
  <si>
    <t xml:space="preserve">Divisora Pesadora Ponder Memak | Technofood Colombia</t>
  </si>
  <si>
    <t xml:space="preserve">Divisora Pesadora Ponder Memak: equipo industrial. Distribuidor autorizado en Colombia. Solicite su cotización con un asesor de Technofood.</t>
  </si>
  <si>
    <t xml:space="preserve">Divisora Pesadora Ponder Memak – equipo industrial para la industria de alimentos</t>
  </si>
  <si>
    <t xml:space="preserve">divisora-volumetrica-orion</t>
  </si>
  <si>
    <t xml:space="preserve">Divisora volumétrica Orion</t>
  </si>
  <si>
    <t xml:space="preserve">Divisora Volumétrica Orion Memak</t>
  </si>
  <si>
    <t xml:space="preserve">Divisora Volumétrica Orion Memak | Technofood Colombia</t>
  </si>
  <si>
    <t xml:space="preserve">Divisora Volumétrica Orion Memak: equipo industrial. Distribuidor autorizado en Colombia. Solicite su cotización con un asesor de Technofood.</t>
  </si>
  <si>
    <t xml:space="preserve">Divisora Volumétrica Orion Memak – equipo industrial para la industria de alimentos</t>
  </si>
  <si>
    <t xml:space="preserve">elevador-de-artesa-znms</t>
  </si>
  <si>
    <t xml:space="preserve">Elevador de artesa ZNMS</t>
  </si>
  <si>
    <t xml:space="preserve">Elevador de Artesa ZNMS Memak</t>
  </si>
  <si>
    <t xml:space="preserve">Elevador de Artesa ZNMS Memak | Technofood Colombia</t>
  </si>
  <si>
    <t xml:space="preserve">Elevador de Artesa ZNMS Memak: equipo industrial. Distribuidor autorizado en Colombia. Solicite su cotización con un asesor de Technofood.</t>
  </si>
  <si>
    <t xml:space="preserve">Elevador de Artesa ZNMS Memak – equipo industrial para la industria de alimentos</t>
  </si>
  <si>
    <t xml:space="preserve">formadora-enrolladora-industrial-lmm</t>
  </si>
  <si>
    <t xml:space="preserve">Formadora enrolladora industrial LMM</t>
  </si>
  <si>
    <t xml:space="preserve">Formadora Enrolladora Industrial LMM Memak</t>
  </si>
  <si>
    <t xml:space="preserve">Formadora Enrolladora Industrial LMM Memak | Technofood</t>
  </si>
  <si>
    <t xml:space="preserve">Formadora Enrolladora Industrial LMM Memak: equipo industrial. Distribuidor autorizado en Colombia. Solicite su cotización con un asesor de Technofood.</t>
  </si>
  <si>
    <t xml:space="preserve">Formadora Enrolladora Industrial LMM Memak – equipo industrial para la industria de alimentos</t>
  </si>
  <si>
    <t xml:space="preserve">unidad-de-control-de-clima-mcl-2000</t>
  </si>
  <si>
    <t xml:space="preserve">Unidad de control de clima MCL 2000</t>
  </si>
  <si>
    <t xml:space="preserve">Unidad de Control de Clima MCL 2000 Memak</t>
  </si>
  <si>
    <t xml:space="preserve">Unidad de Control de Clima MCL 2000 Memak | Technofood</t>
  </si>
  <si>
    <t xml:space="preserve">Unidad de Control de Clima MCL 2000 Memak: equipo industrial. Distribuidor autorizado en Colombia. Solicite su cotización con un asesor de Technofood.</t>
  </si>
  <si>
    <t xml:space="preserve">Unidad de Control de Clima MCL 2000 Memak – equipo industrial para la industria de alimentos</t>
  </si>
  <si>
    <t xml:space="preserve">unidad-de-fermentacion-t-rest</t>
  </si>
  <si>
    <t xml:space="preserve">Unidad de fermentación T-Rest</t>
  </si>
  <si>
    <t xml:space="preserve">Unidad de Fermentación T-Rest Memak</t>
  </si>
  <si>
    <t xml:space="preserve">Unidad de Fermentación T-Rest Memak | Technofood Colombia</t>
  </si>
  <si>
    <t xml:space="preserve">Unidad de Fermentación T-Rest Memak: equipo industrial. Distribuidor autorizado en Colombia. Solicite su cotización con un asesor de Technofood.</t>
  </si>
  <si>
    <t xml:space="preserve">Unidad de Fermentación T-Rest Memak – equipo industrial para la industria de alimentos</t>
  </si>
  <si>
    <t xml:space="preserve">co-extrusora-para-rellenar-multiform</t>
  </si>
  <si>
    <t xml:space="preserve">Mimac</t>
  </si>
  <si>
    <t xml:space="preserve">Co-extrusora para rellenar Multiform</t>
  </si>
  <si>
    <t xml:space="preserve">Co-extrusora para Rellenar Multiform Mimac</t>
  </si>
  <si>
    <t xml:space="preserve">Co-extrusora para Rellenar Multiform Mimac | Technofood</t>
  </si>
  <si>
    <t xml:space="preserve">Co-extrusora para Rellenar Multiform Mimac: equipo industrial. Distribuidor autorizado en Colombia. Solicite su cotización con un asesor de Technofood.</t>
  </si>
  <si>
    <t xml:space="preserve">Co-extrusora para Rellenar Multiform Mimac – equipo industrial para la industria de alimentos</t>
  </si>
  <si>
    <t xml:space="preserve">galletera-suprema</t>
  </si>
  <si>
    <t xml:space="preserve">Galletera Suprema</t>
  </si>
  <si>
    <t xml:space="preserve">Galletera Suprema Mimac</t>
  </si>
  <si>
    <t xml:space="preserve">Galletera Suprema Mimac | Technofood Colombia</t>
  </si>
  <si>
    <t xml:space="preserve">Galletera Suprema Mimac: equipo industrial para la industria de alimentos. Distribuidor autorizado en Colombia. Solicite su cotización con Technofood.</t>
  </si>
  <si>
    <t xml:space="preserve">Galletera Suprema Mimac – equipo industrial para la industria de alimentos</t>
  </si>
  <si>
    <t xml:space="preserve">galletera-dosificadora-babydrop</t>
  </si>
  <si>
    <t xml:space="preserve">Galletera dosificadora Babydrop</t>
  </si>
  <si>
    <t xml:space="preserve">Galletera Dosificadora Babydrop Mimac</t>
  </si>
  <si>
    <t xml:space="preserve">Galletera Dosificadora Babydrop Mimac | Technofood Colombia</t>
  </si>
  <si>
    <t xml:space="preserve">Galletera Dosificadora Babydrop Mimac: equipo industrial. Distribuidor autorizado en Colombia. Solicite su cotización con un asesor de Technofood.</t>
  </si>
  <si>
    <t xml:space="preserve">Galletera Dosificadora Babydrop Mimac – equipo industrial para la industria de alimentos</t>
  </si>
  <si>
    <t xml:space="preserve">galletera-dosificadora-doble</t>
  </si>
  <si>
    <t xml:space="preserve">Galletera dosificadora Doble</t>
  </si>
  <si>
    <t xml:space="preserve">Galletera Dosificadora Doble Mimac</t>
  </si>
  <si>
    <t xml:space="preserve">Galletera Dosificadora Doble Mimac | Technofood Colombia</t>
  </si>
  <si>
    <t xml:space="preserve">Galletera Dosificadora Doble Mimac: equipo industrial. Distribuidor autorizado en Colombia. Solicite su cotización con un asesor de Technofood.</t>
  </si>
  <si>
    <t xml:space="preserve">Galletera Dosificadora Doble Mimac – equipo industrial para la industria de alimentos</t>
  </si>
  <si>
    <t xml:space="preserve">galletera-dosificadora-eurodrop</t>
  </si>
  <si>
    <t xml:space="preserve">Galletera dosificadora Eurodrop</t>
  </si>
  <si>
    <t xml:space="preserve">Galletera Dosificadora Eurodrop Mimac</t>
  </si>
  <si>
    <t xml:space="preserve">Galletera Dosificadora Eurodrop Mimac | Technofood Colombia</t>
  </si>
  <si>
    <t xml:space="preserve">Galletera Dosificadora Eurodrop Mimac: equipo industrial. Distribuidor autorizado en Colombia. Solicite su cotización con un asesor de Technofood.</t>
  </si>
  <si>
    <t xml:space="preserve">Galletera Dosificadora Eurodrop Mimac – equipo industrial para la industria de alimentos</t>
  </si>
  <si>
    <t xml:space="preserve">galletera-dosificadora-maxidrop</t>
  </si>
  <si>
    <t xml:space="preserve">Galletera dosificadora Maxidrop</t>
  </si>
  <si>
    <t xml:space="preserve">Galletera Dosificadora Maxidrop Mimac</t>
  </si>
  <si>
    <t xml:space="preserve">Galletera Dosificadora Maxidrop Mimac | Technofood Colombia</t>
  </si>
  <si>
    <t xml:space="preserve">Galletera Dosificadora Maxidrop Mimac: equipo industrial. Distribuidor autorizado en Colombia. Solicite su cotización con un asesor de Technofood.</t>
  </si>
  <si>
    <t xml:space="preserve">Galletera Dosificadora Maxidrop Mimac – equipo industrial para la industria de alimentos</t>
  </si>
  <si>
    <t xml:space="preserve">linea-pastelera-flex-line</t>
  </si>
  <si>
    <t xml:space="preserve">Línea pastelera Flex Line</t>
  </si>
  <si>
    <t xml:space="preserve">Línea Pastelera Flex Line Mimac</t>
  </si>
  <si>
    <t xml:space="preserve">Línea Pastelera Flex Line Mimac | Technofood Colombia</t>
  </si>
  <si>
    <t xml:space="preserve">Línea Pastelera Flex Line Mimac: equipo industrial. Distribuidor autorizado en Colombia. Solicite su cotización con un asesor de Technofood.</t>
  </si>
  <si>
    <t xml:space="preserve">Línea Pastelera Flex Line Mimac – equipo industrial para la industria de alimentos</t>
  </si>
  <si>
    <t xml:space="preserve">moldeadora-rotativa-rot500</t>
  </si>
  <si>
    <t xml:space="preserve">Moldeadora rotativa ROT500</t>
  </si>
  <si>
    <t xml:space="preserve">Moldeadora Rotativa ROT500 Mimac</t>
  </si>
  <si>
    <t xml:space="preserve">Moldeadora Rotativa ROT500 Mimac | Technofood Colombia</t>
  </si>
  <si>
    <t xml:space="preserve">Moldeadora Rotativa ROT500 Mimac: equipo industrial. Distribuidor autorizado en Colombia. Solicite su cotización con un asesor de Technofood.</t>
  </si>
  <si>
    <t xml:space="preserve">Moldeadora Rotativa ROT500 Mimac – equipo industrial para la industria de alimentos</t>
  </si>
  <si>
    <t xml:space="preserve">prensa-de-tartaletas-tart</t>
  </si>
  <si>
    <t xml:space="preserve">Prensa de tartaletas Tart</t>
  </si>
  <si>
    <t xml:space="preserve">Prensa de Tartaletas Tart Mimac</t>
  </si>
  <si>
    <t xml:space="preserve">Prensa de Tartaletas Tart Mimac | Technofood Colombia</t>
  </si>
  <si>
    <t xml:space="preserve">Prensa de Tartaletas Tart Mimac: equipo industrial. Distribuidor autorizado en Colombia. Solicite su cotización con un asesor de Technofood.</t>
  </si>
  <si>
    <t xml:space="preserve">Prensa de Tartaletas Tart Mimac – equipo industrial para la industria de alimentos</t>
  </si>
  <si>
    <t xml:space="preserve">batidora-bull-160</t>
  </si>
  <si>
    <t xml:space="preserve">Rollmatic</t>
  </si>
  <si>
    <t xml:space="preserve">Batidora Bull 160</t>
  </si>
  <si>
    <t xml:space="preserve">Batidora Bull 160 Rollmatic</t>
  </si>
  <si>
    <t xml:space="preserve">Batidora Bull 160 Rollmatic | Technofood Colombia</t>
  </si>
  <si>
    <t xml:space="preserve">Batidora Bull 160 Rollmatic: equipo industrial para la industria de alimentos. Distribuidor autorizado en Colombia. Solicite su cotización con Technofood.</t>
  </si>
  <si>
    <t xml:space="preserve">Batidora Bull 160 Rollmatic – equipo industrial para la industria de alimentos</t>
  </si>
  <si>
    <t xml:space="preserve">divisora-boleadora-dr-m</t>
  </si>
  <si>
    <t xml:space="preserve">Divisora boleadora DR-M</t>
  </si>
  <si>
    <t xml:space="preserve">Divisora Boleadora DR-M Rollmatic</t>
  </si>
  <si>
    <t xml:space="preserve">Divisora Boleadora DR-M Rollmatic | Technofood Colombia</t>
  </si>
  <si>
    <t xml:space="preserve">Divisora Boleadora DR-M Rollmatic: equipo industrial. Distribuidor autorizado en Colombia. Solicite su cotización con un asesor de Technofood.</t>
  </si>
  <si>
    <t xml:space="preserve">Divisora Boleadora DR-M Rollmatic – equipo industrial para la industria de alimentos</t>
  </si>
  <si>
    <t xml:space="preserve">divisora-boleadora-dr-s</t>
  </si>
  <si>
    <t xml:space="preserve">Divisora boleadora DR-S</t>
  </si>
  <si>
    <t xml:space="preserve">Divisora Boleadora DR-S Rollmatic</t>
  </si>
  <si>
    <t xml:space="preserve">Divisora Boleadora DR-S Rollmatic | Technofood Colombia</t>
  </si>
  <si>
    <t xml:space="preserve">Divisora Boleadora DR-S Rollmatic: equipo industrial. Distribuidor autorizado en Colombia. Solicite su cotización con un asesor de Technofood.</t>
  </si>
  <si>
    <t xml:space="preserve">Divisora Boleadora DR-S Rollmatic – equipo industrial para la industria de alimentos</t>
  </si>
  <si>
    <t xml:space="preserve">elevador-soll-100-160</t>
  </si>
  <si>
    <t xml:space="preserve">Elevador Soll 100-160</t>
  </si>
  <si>
    <t xml:space="preserve">Elevador Soll 100-160 Rollmatic</t>
  </si>
  <si>
    <t xml:space="preserve">Elevador Soll 100-160 Rollmatic | Technofood Colombia</t>
  </si>
  <si>
    <t xml:space="preserve">Elevador Soll 100-160 Rollmatic: equipo industrial. Distribuidor autorizado en Colombia. Solicite su cotización con un asesor de Technofood.</t>
  </si>
  <si>
    <t xml:space="preserve">Elevador Soll 100-160 Rollmatic – equipo industrial para la industria de alimentos</t>
  </si>
  <si>
    <t xml:space="preserve">laminadora-automatica-r65a</t>
  </si>
  <si>
    <t xml:space="preserve">Laminadora automática R65A</t>
  </si>
  <si>
    <t xml:space="preserve">Laminadora Automática R65A Rollmatic</t>
  </si>
  <si>
    <t xml:space="preserve">Laminadora Automática R65A Rollmatic | Technofood Colombia</t>
  </si>
  <si>
    <t xml:space="preserve">Laminadora Automática R65A Rollmatic: equipo industrial. Distribuidor autorizado en Colombia. Solicite su cotización con un asesor de Technofood.</t>
  </si>
  <si>
    <t xml:space="preserve">Laminadora Automática R65A Rollmatic – equipo industrial para la industria de alimentos</t>
  </si>
  <si>
    <t xml:space="preserve">laminadora-automatica-r65ax</t>
  </si>
  <si>
    <t xml:space="preserve">Laminadora automática R65AX</t>
  </si>
  <si>
    <t xml:space="preserve">Laminadora Automática R65AX Rollmatic</t>
  </si>
  <si>
    <t xml:space="preserve">Laminadora Automática R65AX Rollmatic | Technofood Colombia</t>
  </si>
  <si>
    <t xml:space="preserve">Laminadora Automática R65AX Rollmatic: equipo industrial. Distribuidor autorizado en Colombia. Solicite su cotización con un asesor de Technofood.</t>
  </si>
  <si>
    <t xml:space="preserve">Laminadora Automática R65AX Rollmatic – equipo industrial para la industria de alimentos</t>
  </si>
  <si>
    <t xml:space="preserve">laminadora-automatica-r65axp</t>
  </si>
  <si>
    <t xml:space="preserve">Laminadora automática R65AXP</t>
  </si>
  <si>
    <t xml:space="preserve">Laminadora Automática R65AXP Rollmatic</t>
  </si>
  <si>
    <t xml:space="preserve">Laminadora Automática R65AXP Rollmatic | Technofood Colombia</t>
  </si>
  <si>
    <t xml:space="preserve">Laminadora Automática R65AXP Rollmatic: equipo industrial. Distribuidor autorizado en Colombia. Solicite su cotización con un asesor de Technofood.</t>
  </si>
  <si>
    <t xml:space="preserve">Laminadora Automática R65AXP Rollmatic – equipo industrial para la industria de alimentos</t>
  </si>
  <si>
    <t xml:space="preserve">laminadora-compacta-r55</t>
  </si>
  <si>
    <t xml:space="preserve">Laminadora compacta R55</t>
  </si>
  <si>
    <t xml:space="preserve">Laminadora Compacta R55 Rollmatic</t>
  </si>
  <si>
    <t xml:space="preserve">Laminadora Compacta R55 Rollmatic | Technofood Colombia</t>
  </si>
  <si>
    <t xml:space="preserve">Laminadora Compacta R55 Rollmatic: equipo industrial. Distribuidor autorizado en Colombia. Solicite su cotización con un asesor de Technofood.</t>
  </si>
  <si>
    <t xml:space="preserve">Laminadora Compacta R55 Rollmatic – equipo industrial para la industria de alimentos</t>
  </si>
  <si>
    <t xml:space="preserve">laminadora-manual-r60</t>
  </si>
  <si>
    <t xml:space="preserve">Laminadora manual R60</t>
  </si>
  <si>
    <t xml:space="preserve">Laminadora Manual R60 Rollmatic</t>
  </si>
  <si>
    <t xml:space="preserve">Laminadora Manual R60 Rollmatic | Technofood Colombia</t>
  </si>
  <si>
    <t xml:space="preserve">Laminadora Manual R60 Rollmatic: equipo industrial. Distribuidor autorizado en Colombia. Solicite su cotización con un asesor de Technofood.</t>
  </si>
  <si>
    <t xml:space="preserve">Laminadora Manual R60 Rollmatic – equipo industrial para la industria de alimentos</t>
  </si>
  <si>
    <t xml:space="preserve">laminadora-manual-r65</t>
  </si>
  <si>
    <t xml:space="preserve">Laminadora manual R65</t>
  </si>
  <si>
    <t xml:space="preserve">Laminadora Manual R65 Rollmatic</t>
  </si>
  <si>
    <t xml:space="preserve">Laminadora Manual R65 Rollmatic | Technofood Colombia</t>
  </si>
  <si>
    <t xml:space="preserve">Laminadora Manual R65 Rollmatic: equipo industrial. Distribuidor autorizado en Colombia. Solicite su cotización con un asesor de Technofood.</t>
  </si>
  <si>
    <t xml:space="preserve">Laminadora Manual R65 Rollmatic – equipo industrial para la industria de alimentos</t>
  </si>
  <si>
    <t xml:space="preserve">laminadora-semiautomatica-r65s</t>
  </si>
  <si>
    <t xml:space="preserve">Laminadora semiautomática R65S</t>
  </si>
  <si>
    <t xml:space="preserve">Laminadora Semiautomática R65S Rollmatic</t>
  </si>
  <si>
    <t xml:space="preserve">Laminadora Semiautomática R65S Rollmatic | Technofood</t>
  </si>
  <si>
    <t xml:space="preserve">Laminadora Semiautomática R65S Rollmatic: equipo industrial. Distribuidor autorizado en Colombia. Solicite su cotización con un asesor de Technofood.</t>
  </si>
  <si>
    <t xml:space="preserve">Laminadora Semiautomática R65S Rollmatic – equipo industrial para la industria de alimentos</t>
  </si>
  <si>
    <t xml:space="preserve">divisora-boleadora-svi-4-5-6-7</t>
  </si>
  <si>
    <t xml:space="preserve">Sartori</t>
  </si>
  <si>
    <t xml:space="preserve">Divisora boleadora SVI 4 5 6 7</t>
  </si>
  <si>
    <t xml:space="preserve">Divisora Boleadora SVI 4 5 6 7 Sartori</t>
  </si>
  <si>
    <t xml:space="preserve">Divisora Boleadora SVI 4 5 6 7 Sartori | Technofood Colombia</t>
  </si>
  <si>
    <t xml:space="preserve">Divisora Boleadora SVI 4 5 6 7 Sartori: equipo industrial. Distribuidor autorizado en Colombia. Solicite su cotización con un asesor de Technofood.</t>
  </si>
  <si>
    <t xml:space="preserve">Divisora Boleadora SVI 4 5 6 7 Sartori – equipo industrial para la industria de alimentos</t>
  </si>
  <si>
    <t xml:space="preserve">divisora-boleadora-svi-6da</t>
  </si>
  <si>
    <t xml:space="preserve">Divisora boleadora SVI 6DA</t>
  </si>
  <si>
    <t xml:space="preserve">Divisora Boleadora SVI 6DA Sartori</t>
  </si>
  <si>
    <t xml:space="preserve">Divisora Boleadora SVI 6DA Sartori | Technofood Colombia</t>
  </si>
  <si>
    <t xml:space="preserve">Divisora Boleadora SVI 6DA Sartori: equipo industrial. Distribuidor autorizado en Colombia. Solicite su cotización con un asesor de Technofood.</t>
  </si>
  <si>
    <t xml:space="preserve">Divisora Boleadora SVI 6DA Sartori – equipo industrial para la industria de alimentos</t>
  </si>
  <si>
    <t xml:space="preserve">divisora-boleadora-svi-8da</t>
  </si>
  <si>
    <t xml:space="preserve">Divisora boleadora SVI 8DA</t>
  </si>
  <si>
    <t xml:space="preserve">Divisora Boleadora SVI 8DA Sartori</t>
  </si>
  <si>
    <t xml:space="preserve">Divisora Boleadora SVI 8DA Sartori | Technofood Colombia</t>
  </si>
  <si>
    <t xml:space="preserve">Divisora Boleadora SVI 8DA Sartori: equipo industrial. Distribuidor autorizado en Colombia. Solicite su cotización con un asesor de Technofood.</t>
  </si>
  <si>
    <t xml:space="preserve">Divisora Boleadora SVI 8DA Sartori – equipo industrial para la industria de alimentos</t>
  </si>
  <si>
    <t xml:space="preserve">divisora-boleadora-svp</t>
  </si>
  <si>
    <t xml:space="preserve">Divisora boleadora SVP</t>
  </si>
  <si>
    <t xml:space="preserve">Divisora Boleadora SVP Sartori</t>
  </si>
  <si>
    <t xml:space="preserve">Divisora Boleadora SVP Sartori | Technofood Colombia</t>
  </si>
  <si>
    <t xml:space="preserve">Divisora Boleadora SVP Sartori: equipo industrial. Distribuidor autorizado en Colombia. Solicite su cotización con un asesor de Technofood.</t>
  </si>
  <si>
    <t xml:space="preserve">Divisora Boleadora SVP Sartori – equipo industrial para la industria de alimentos</t>
  </si>
  <si>
    <t xml:space="preserve">carro-para-horno</t>
  </si>
  <si>
    <t xml:space="preserve">Carro para horno</t>
  </si>
  <si>
    <t xml:space="preserve">Carro para Horno Technofood</t>
  </si>
  <si>
    <t xml:space="preserve">Carro para Horno Technofood | Technofood Colombia</t>
  </si>
  <si>
    <t xml:space="preserve">Carro para Horno Technofood: equipo industrial para la industria de alimentos. Distribuidor autorizado en Colombia. Solicite su cotización con Technofood.</t>
  </si>
  <si>
    <t xml:space="preserve">Carro para Horno Technofood – equipo industrial para la industria de alimentos</t>
  </si>
  <si>
    <t xml:space="preserve">camara-de-fermentacion-1-carro</t>
  </si>
  <si>
    <t xml:space="preserve">Cámara de fermentación 1 carro</t>
  </si>
  <si>
    <t xml:space="preserve">Cámara de Fermentación 1 Carro Technofood</t>
  </si>
  <si>
    <t xml:space="preserve">Cámara de Fermentación 1 Carro Technofood | Technofood</t>
  </si>
  <si>
    <t xml:space="preserve">Cámara de Fermentación 1 Carro Technofood: equipo industrial. Distribuidor autorizado en Colombia. Solicite su cotización con un asesor de Technofood.</t>
  </si>
  <si>
    <t xml:space="preserve">Cámara de Fermentación 1 Carro Technofood – equipo industrial para la industria de alimentos</t>
  </si>
  <si>
    <t xml:space="preserve">dosificador-digital-de-liquidos</t>
  </si>
  <si>
    <t xml:space="preserve">Dosificador digital de líquidos</t>
  </si>
  <si>
    <t xml:space="preserve">Dosificador Digital de Líquidos Technofood</t>
  </si>
  <si>
    <t xml:space="preserve">Dosificador Digital de Líquidos Technofood | Technofood</t>
  </si>
  <si>
    <t xml:space="preserve">Dosificador Digital de Líquidos Technofood: equipo industrial. Distribuidor autorizado en Colombia. Solicite su cotización con un asesor de Technofood.</t>
  </si>
  <si>
    <t xml:space="preserve">Dosificador Digital de Líquidos Technofood – equipo industrial para la industria de alimentos</t>
  </si>
  <si>
    <t xml:space="preserve">horno-rotativo-1530l</t>
  </si>
  <si>
    <t xml:space="preserve">Horno rotativo 1530L</t>
  </si>
  <si>
    <t xml:space="preserve">Horno Rotativo 1530L Technofood</t>
  </si>
  <si>
    <t xml:space="preserve">Horno Rotativo 1530L Technofood | Technofood Colombia</t>
  </si>
  <si>
    <t xml:space="preserve">Horno Rotativo 1530L Technofood: equipo industrial. Distribuidor autorizado en Colombia. Solicite su cotización con un asesor de Technofood.</t>
  </si>
  <si>
    <t xml:space="preserve">Horno Rotativo 1530L Technofood – equipo industrial para la industria de alimentos</t>
  </si>
  <si>
    <t xml:space="preserve">horno-rotativo-2040l</t>
  </si>
  <si>
    <t xml:space="preserve">Horno rotativo 2040L</t>
  </si>
  <si>
    <t xml:space="preserve">Horno Rotativo 2040L Technofood</t>
  </si>
  <si>
    <t xml:space="preserve">Horno Rotativo 2040L Technofood | Technofood Colombia</t>
  </si>
  <si>
    <t xml:space="preserve">Horno Rotativo 2040L Technofood: equipo industrial. Distribuidor autorizado en Colombia. Solicite su cotización con un asesor de Technofood.</t>
  </si>
  <si>
    <t xml:space="preserve">Horno Rotativo 2040L Technofood – equipo industrial para la industria de alimentos</t>
  </si>
  <si>
    <t xml:space="preserve">horno-rotativo-4080l</t>
  </si>
  <si>
    <t xml:space="preserve">Horno rotativo 4080L</t>
  </si>
  <si>
    <t xml:space="preserve">Horno Rotativo 4080L Technofood</t>
  </si>
  <si>
    <t xml:space="preserve">Horno Rotativo 4080L Technofood | Technofood Colombia</t>
  </si>
  <si>
    <t xml:space="preserve">Horno Rotativo 4080L Technofood: equipo industrial. Distribuidor autorizado en Colombia. Solicite su cotización con un asesor de Technofood.</t>
  </si>
  <si>
    <t xml:space="preserve">Horno Rotativo 4080L Technofood – equipo industrial para la industria de alimentos</t>
  </si>
  <si>
    <t xml:space="preserve">horno-rotativo-doble-tn</t>
  </si>
  <si>
    <t xml:space="preserve">Horno rotativo doble TN</t>
  </si>
  <si>
    <t xml:space="preserve">Horno Rotativo Doble TN Technofood</t>
  </si>
  <si>
    <t xml:space="preserve">Horno Rotativo Doble TN Technofood | Technofood Colombia</t>
  </si>
  <si>
    <t xml:space="preserve">Horno Rotativo Doble TN Technofood: equipo industrial. Distribuidor autorizado en Colombia. Solicite su cotización con un asesor de Technofood.</t>
  </si>
  <si>
    <t xml:space="preserve">Horno Rotativo Doble TN Technofood – equipo industrial para la industria de alimentos</t>
  </si>
  <si>
    <t xml:space="preserve">molino-calado-para-miga-de-pan</t>
  </si>
  <si>
    <t xml:space="preserve">Molino calado para miga de pan</t>
  </si>
  <si>
    <t xml:space="preserve">Molino Calado para Miga de Pan Technofood</t>
  </si>
  <si>
    <t xml:space="preserve">Molino Calado para Miga de Pan Technofood | Technofood</t>
  </si>
  <si>
    <t xml:space="preserve">Molino Calado para Miga de Pan Technofood: equipo industrial. Distribuidor autorizado en Colombia. Solicite su cotización con un asesor de Technofood.</t>
  </si>
  <si>
    <t xml:space="preserve">Molino Calado para Miga de Pan Technofood – equipo industrial para la industria de alimentos</t>
  </si>
  <si>
    <t xml:space="preserve">pulverizador-aspersor-sx400</t>
  </si>
  <si>
    <t xml:space="preserve">Pulverizador (aspersor) SX400</t>
  </si>
  <si>
    <t xml:space="preserve">Pulverizador (Aspersor) SX400 Technofood</t>
  </si>
  <si>
    <t xml:space="preserve">Pulverizador (Aspersor) SX400 Technofood | Technofood</t>
  </si>
  <si>
    <t xml:space="preserve">Pulverizador (Aspersor) SX400 Technofood: equipo industrial. Distribuidor autorizado en Colombia. Solicite su cotización con un asesor de Technofood.</t>
  </si>
  <si>
    <t xml:space="preserve">Pulverizador (Aspersor) SX400 Technofood – equipo industrial para la industria de alimentos</t>
  </si>
  <si>
    <t xml:space="preserve">amasadora-eracle-zanolli</t>
  </si>
  <si>
    <t xml:space="preserve">Zanolli</t>
  </si>
  <si>
    <t xml:space="preserve">Amasadora Eracle Zanolli</t>
  </si>
  <si>
    <t xml:space="preserve">Amasadora Eracle Zanolli | Technofood Colombia</t>
  </si>
  <si>
    <t xml:space="preserve">Amasadora Eracle Zanolli: equipo industrial para la industria de alimentos. Distribuidor autorizado en Colombia. Solicite su cotización con Technofood.</t>
  </si>
  <si>
    <t xml:space="preserve">Amasadora Eracle Zanolli – equipo industrial para la industria de alimentos</t>
  </si>
  <si>
    <t xml:space="preserve">amasadora-galassia</t>
  </si>
  <si>
    <t xml:space="preserve">Amasadora Galassia</t>
  </si>
  <si>
    <t xml:space="preserve">Amasadora Galassia Zanolli</t>
  </si>
  <si>
    <t xml:space="preserve">Amasadora Galassia Zanolli | Technofood Colombia</t>
  </si>
  <si>
    <t xml:space="preserve">Amasadora Galassia Zanolli: equipo industrial para la industria de alimentos. Distribuidor autorizado en Colombia. Solicite su cotización con Technofood.</t>
  </si>
  <si>
    <t xml:space="preserve">Amasadora Galassia Zanolli – equipo industrial para la industria de alimentos</t>
  </si>
  <si>
    <t xml:space="preserve">cortadora-de-queso-y-verduras-talia</t>
  </si>
  <si>
    <t xml:space="preserve">Cortadora de queso y verduras Talía</t>
  </si>
  <si>
    <t xml:space="preserve">Cortadora de Queso y Verduras Talía Zanolli</t>
  </si>
  <si>
    <t xml:space="preserve">Cortadora de Queso y Verduras Talía Zanolli | Technofood</t>
  </si>
  <si>
    <t xml:space="preserve">Cortadora de Queso y Verduras Talía Zanolli: equipo industrial. Distribuidor autorizado en Colombia. Solicite su cotización con un asesor de Technofood.</t>
  </si>
  <si>
    <t xml:space="preserve">Cortadora de Queso y Verduras Talía Zanolli – equipo industrial para la industria de alimentos</t>
  </si>
  <si>
    <t xml:space="preserve">horno-tunel-synthesis</t>
  </si>
  <si>
    <t xml:space="preserve">Horno túnel Synthesis</t>
  </si>
  <si>
    <t xml:space="preserve">Horno Túnel Synthesis Zanolli</t>
  </si>
  <si>
    <t xml:space="preserve">Horno Túnel Synthesis Zanolli | Technofood Colombia</t>
  </si>
  <si>
    <t xml:space="preserve">Horno Túnel Synthesis Zanolli: equipo industrial. Distribuidor autorizado en Colombia. Solicite su cotización con un asesor de Technofood.</t>
  </si>
  <si>
    <t xml:space="preserve">Horno Túnel Synthesis Zanolli – equipo industrial para la industria de alimentos</t>
  </si>
  <si>
    <t xml:space="preserve">horno-tunel-teorema-polis</t>
  </si>
  <si>
    <t xml:space="preserve">Horno túnel Teorema Polis</t>
  </si>
  <si>
    <t xml:space="preserve">Horno Túnel Teorema Polis Zanolli</t>
  </si>
  <si>
    <t xml:space="preserve">Horno Túnel Teorema Polis Zanolli | Technofood Colombia</t>
  </si>
  <si>
    <t xml:space="preserve">Horno Túnel Teorema Polis Zanolli: equipo industrial. Distribuidor autorizado en Colombia. Solicite su cotización con un asesor de Technofood.</t>
  </si>
  <si>
    <t xml:space="preserve">Horno Túnel Teorema Polis Zanolli – equipo industrial para la industria de alimentos</t>
  </si>
  <si>
    <t xml:space="preserve">moldeadora-de-pizza-roller</t>
  </si>
  <si>
    <t xml:space="preserve">Moldeadora de pizza Roller</t>
  </si>
  <si>
    <t xml:space="preserve">Moldeadora de Pizza Roller Zanolli</t>
  </si>
  <si>
    <t xml:space="preserve">Moldeadora de Pizza Roller Zanolli | Technofood Colombia</t>
  </si>
  <si>
    <t xml:space="preserve">Moldeadora de Pizza Roller Zanolli: equipo industrial. Distribuidor autorizado en Colombia. Solicite su cotización con un asesor de Technofood.</t>
  </si>
  <si>
    <t xml:space="preserve">Moldeadora de Pizza Roller Zanolli – equipo industrial para la industria de alimentos</t>
  </si>
  <si>
    <t xml:space="preserve">linea-completa-de-envase-al-vacio-retractilado-frio-y-secado</t>
  </si>
  <si>
    <t xml:space="preserve">LÍNEA COMPLETA DE ENVASE AL VACÍO, RETRACTILADO, FRÍO Y SECADO</t>
  </si>
  <si>
    <t xml:space="preserve">Línea Completa de Envase al Vacío, Retractilado, Frío y Secado Supervac</t>
  </si>
  <si>
    <t xml:space="preserve">Línea de Envase al Vacío y Retractilado | Supervac</t>
  </si>
  <si>
    <t xml:space="preserve">Línea Completa de Envase al Vacío y Retractilado Supervac. Distribuidor autorizado en Colombia. Solicite su cotización con Technofood.</t>
  </si>
  <si>
    <t xml:space="preserve">Línea Completa de Envase al Vacío, Retractilado, Frío y Secado Supervac – equipo industrial para la industria de alimentos</t>
  </si>
  <si>
    <t xml:space="preserve">Título en mayúsculas: se pasó a iniciales en mayúscula. Se agregó la marca al título (no la tenía). Sin marca ni modelo en el título; es una línea completa, considerar describir componentes. SEO title y meta acortados a mano (el título completo es muy largo).</t>
  </si>
  <si>
    <t xml:space="preserve">Título actual</t>
  </si>
  <si>
    <t xml:space="preserve">Productos</t>
  </si>
  <si>
    <t xml:space="preserve">Tipo</t>
  </si>
  <si>
    <t xml:space="preserve">Prioridad</t>
  </si>
  <si>
    <t xml:space="preserve">Acción recomendada</t>
  </si>
  <si>
    <t xml:space="preserve">Largo title</t>
  </si>
  <si>
    <t xml:space="preserve">Imagen / descripción hoy</t>
  </si>
  <si>
    <t xml:space="preserve">frontpage</t>
  </si>
  <si>
    <t xml:space="preserve">Home page</t>
  </si>
  <si>
    <t xml:space="preserve">Técnica / demo</t>
  </si>
  <si>
    <t xml:space="preserve">Baja</t>
  </si>
  <si>
    <t xml:space="preserve">Dejar sin enlazar (colección técnica de Shopify) y noindex</t>
  </si>
  <si>
    <t xml:space="preserve">Home page | Equipos industriales en Colombia – Technofood</t>
  </si>
  <si>
    <t xml:space="preserve">Home page: equipos industriales para alimentos. Distribuidor autorizado en Colombia. Consulte el catálogo y cotice con Technofood.</t>
  </si>
  <si>
    <t xml:space="preserve">Sin imagen ni descripción</t>
  </si>
  <si>
    <t xml:space="preserve">mas-vendidos</t>
  </si>
  <si>
    <t xml:space="preserve">Los más vendidos</t>
  </si>
  <si>
    <t xml:space="preserve">Media</t>
  </si>
  <si>
    <t xml:space="preserve">Revisar: depende de tags que hoy solo tienen productos demo archivados</t>
  </si>
  <si>
    <t xml:space="preserve">Los más vendidos | Technofood Colombia</t>
  </si>
  <si>
    <t xml:space="preserve">Los más vendidos: equipos industriales para alimentos. Distribuidor autorizado en Colombia. Consulte el catálogo y cotice con Technofood.</t>
  </si>
  <si>
    <t xml:space="preserve">porcino</t>
  </si>
  <si>
    <t xml:space="preserve">Porcino</t>
  </si>
  <si>
    <t xml:space="preserve">Industria</t>
  </si>
  <si>
    <t xml:space="preserve">Alta</t>
  </si>
  <si>
    <t xml:space="preserve">Mantener y reescribir: comparten marcas, diferenciar título y texto por industria</t>
  </si>
  <si>
    <t xml:space="preserve">Equipos para la industria porcina | Technofood Colombia</t>
  </si>
  <si>
    <t xml:space="preserve">Maquinaria para plantas de proceso porcino de marcas como Taesa, Lima, Maku, Holac y Grasselli. Distribuidor autorizado en Colombia. Cotice con Technofood.</t>
  </si>
  <si>
    <t xml:space="preserve">bovino</t>
  </si>
  <si>
    <t xml:space="preserve">Bovino</t>
  </si>
  <si>
    <t xml:space="preserve">Equipos para la industria bovina | Technofood Colombia</t>
  </si>
  <si>
    <t xml:space="preserve">Maquinaria para plantas de proceso bovino de marcas como Taesa, Lima, Maku, Holac y Grasselli. Distribuidor autorizado en Colombia. Cotice con Technofood.</t>
  </si>
  <si>
    <t xml:space="preserve">avicola</t>
  </si>
  <si>
    <t xml:space="preserve">Avícola</t>
  </si>
  <si>
    <t xml:space="preserve">Equipos para la industria avícola | Technofood Colombia</t>
  </si>
  <si>
    <t xml:space="preserve">Maquinaria para plantas de proceso avícola de marcas como Baader, Lima, Bettcher y Maku. Distribuidor autorizado en Colombia. Cotice con Technofood.</t>
  </si>
  <si>
    <t xml:space="preserve">Tiene 'Texto H2 prueba' como descripción: reemplazar</t>
  </si>
  <si>
    <t xml:space="preserve">piscicola</t>
  </si>
  <si>
    <t xml:space="preserve">Piscícola</t>
  </si>
  <si>
    <t xml:space="preserve">Equipos para la industria piscícola | Technofood Colombia</t>
  </si>
  <si>
    <t xml:space="preserve">Maquinaria para plantas de proceso piscícola de marcas como Baader, Lima, Bettcher y Maku. Distribuidor autorizado en Colombia. Cotice con Technofood.</t>
  </si>
  <si>
    <t xml:space="preserve">panaderia</t>
  </si>
  <si>
    <t xml:space="preserve">Panadería</t>
  </si>
  <si>
    <t xml:space="preserve">Línea / sector</t>
  </si>
  <si>
    <t xml:space="preserve">Definir cuál es la canónica ('Panadería' 130 vs 'Línea Panadería' 121) y redirigir la otra</t>
  </si>
  <si>
    <t xml:space="preserve">Maquinaria para panadería en Colombia | Technofood</t>
  </si>
  <si>
    <t xml:space="preserve">Hornos, amasadoras, divisoras, laminadoras y más para panaderías y pastelerías. Distribuidor autorizado en Colombia. Cotice con Technofood.</t>
  </si>
  <si>
    <t xml:space="preserve">soluciones-destacadas</t>
  </si>
  <si>
    <t xml:space="preserve">Soluciones destacadas</t>
  </si>
  <si>
    <t xml:space="preserve">Soluciones destacadas | Technofood Colombia</t>
  </si>
  <si>
    <t xml:space="preserve">Soluciones destacadas: equipos industriales para alimentos. Distribuidor autorizado en Colombia. Consulte el catálogo y cotice con Technofood.</t>
  </si>
  <si>
    <t xml:space="preserve">linea-carnica</t>
  </si>
  <si>
    <t xml:space="preserve">Línea Cárnica</t>
  </si>
  <si>
    <t xml:space="preserve">Mantener y optimizar (texto introductorio + preguntas frecuentes)</t>
  </si>
  <si>
    <t xml:space="preserve">Maquinaria para industria cárnica en Colombia | Technofood</t>
  </si>
  <si>
    <t xml:space="preserve">Equipos para beneficio, corte, valor agregado, empaque e higiene en la industria cárnica. Distribuidor autorizado en Colombia. Cotice con Technofood.</t>
  </si>
  <si>
    <t xml:space="preserve">insumos-carnicos</t>
  </si>
  <si>
    <t xml:space="preserve">Insumos Cárnicos</t>
  </si>
  <si>
    <t xml:space="preserve">Insumos para la industria cárnica | Technofood Colombia</t>
  </si>
  <si>
    <t xml:space="preserve">Clips, lazos, tintas y consumibles para su línea cárnica. Distribuidor autorizado en Colombia. Consulte las referencias y cotice con Technofood.</t>
  </si>
  <si>
    <t xml:space="preserve">insumos-panaderia</t>
  </si>
  <si>
    <t xml:space="preserve">Insumos Panadería</t>
  </si>
  <si>
    <t xml:space="preserve">Insumos para panadería | Technofood Colombia</t>
  </si>
  <si>
    <t xml:space="preserve">Agentes desmoldantes, pulverizadores, bandejas y consumibles para panadería. Distribuidor autorizado en Colombia. Cotice con Technofood.</t>
  </si>
  <si>
    <t xml:space="preserve">quesos</t>
  </si>
  <si>
    <t xml:space="preserve">Quesos</t>
  </si>
  <si>
    <t xml:space="preserve">Mantener y optimizar texto</t>
  </si>
  <si>
    <t xml:space="preserve">Equipos para procesar quesos | Technofood Colombia</t>
  </si>
  <si>
    <t xml:space="preserve">Cortadoras y equipos para la industria de quesos. Distribuidor autorizado en Colombia. Consulte el catálogo y cotice con un asesor de Technofood.</t>
  </si>
  <si>
    <t xml:space="preserve">petfood</t>
  </si>
  <si>
    <t xml:space="preserve">Petfood</t>
  </si>
  <si>
    <t xml:space="preserve">Mantener sin publicar hasta tener productos y marcas</t>
  </si>
  <si>
    <t xml:space="preserve">Equipos para petfood | Technofood Colombia</t>
  </si>
  <si>
    <t xml:space="preserve">Colección en preparación: equipos para la elaboración de alimento para mascotas. Distribuidor autorizado en Colombia. Hable con un asesor de Technofood.</t>
  </si>
  <si>
    <t xml:space="preserve">linea-panaderia</t>
  </si>
  <si>
    <t xml:space="preserve">Línea Panadería</t>
  </si>
  <si>
    <t xml:space="preserve">agentes-desmoldantes-y-abrillantadores-insumos-panaderia</t>
  </si>
  <si>
    <t xml:space="preserve">Agentes desmoldantes y abrillantadores · Insumos Panadería</t>
  </si>
  <si>
    <t xml:space="preserve">Categoría · línea</t>
  </si>
  <si>
    <t xml:space="preserve">Agentes desmoldantes y abrillantadores | Technofood</t>
  </si>
  <si>
    <t xml:space="preserve">Agentes desmoldantes y abrillantadores – Insumos Panadería para la industria de alimentos. Distribuidor autorizado en Colombia. Cotice con Technofood.</t>
  </si>
  <si>
    <t xml:space="preserve">agentes-desmoldantes-y-abrillantadores-linea-panaderia</t>
  </si>
  <si>
    <t xml:space="preserve">Agentes desmoldantes y abrillantadores · Línea Panadería</t>
  </si>
  <si>
    <t xml:space="preserve">Ocultar de la navegación y noindex (vacía)</t>
  </si>
  <si>
    <t xml:space="preserve">Agentes desmoldantes y abrillantadores – Línea Panadería para la industria de alimentos. Distribuidor autorizado en Colombia. Cotice con Technofood.</t>
  </si>
  <si>
    <t xml:space="preserve">ahumado</t>
  </si>
  <si>
    <t xml:space="preserve">Ahumado</t>
  </si>
  <si>
    <t xml:space="preserve">Categoría</t>
  </si>
  <si>
    <t xml:space="preserve">Fusionar con 'Cocción y tratamiento térmico'</t>
  </si>
  <si>
    <t xml:space="preserve">Ahumado | Equipos industriales en Colombia – Technofood</t>
  </si>
  <si>
    <t xml:space="preserve">Ahumado: equipos e insumos industriales para la industria de alimentos. Distribuidor autorizado en Colombia. Consulte el catálogo y cotice con Technofood.</t>
  </si>
  <si>
    <t xml:space="preserve">amasadoras</t>
  </si>
  <si>
    <t xml:space="preserve">Amasadoras</t>
  </si>
  <si>
    <t xml:space="preserve">Amasadoras | Equipos industriales en Colombia – Technofood</t>
  </si>
  <si>
    <t xml:space="preserve">Amasadoras: equipos industriales para alimentos. Distribuidor autorizado en Colombia. Consulte el catálogo y cotice con Technofood.</t>
  </si>
  <si>
    <t xml:space="preserve">atadoras-y-consumibles-de-atado</t>
  </si>
  <si>
    <t xml:space="preserve">Atadoras y consumibles de atado</t>
  </si>
  <si>
    <t xml:space="preserve">Atadoras y consumibles de atado | Technofood Colombia</t>
  </si>
  <si>
    <t xml:space="preserve">Atadoras y consumibles de atado: equipos industriales para alimentos. Distribuidor autorizado en Colombia. Consulte el catálogo y cotice con Technofood.</t>
  </si>
  <si>
    <t xml:space="preserve">bandejas-para-hornear</t>
  </si>
  <si>
    <t xml:space="preserve">Bandejas para hornear</t>
  </si>
  <si>
    <t xml:space="preserve">Bandejas para hornear | Technofood Colombia</t>
  </si>
  <si>
    <t xml:space="preserve">Bandejas para hornear: equipos industriales para alimentos. Distribuidor autorizado en Colombia. Consulte el catálogo y cotice con Technofood.</t>
  </si>
  <si>
    <t xml:space="preserve">batidoras-y-mezcladoras-planetarias</t>
  </si>
  <si>
    <t xml:space="preserve">Batidoras y mezcladoras planetarias</t>
  </si>
  <si>
    <t xml:space="preserve">Batidoras y mezcladoras planetarias | Technofood Colombia</t>
  </si>
  <si>
    <t xml:space="preserve">Batidoras y mezcladoras planetarias para la industria de alimentos. Distribuidor autorizado en Colombia. Cotice con Technofood.</t>
  </si>
  <si>
    <t xml:space="preserve">carros-cutters-y-contenedores</t>
  </si>
  <si>
    <t xml:space="preserve">Carros cutters y contenedores</t>
  </si>
  <si>
    <t xml:space="preserve">Fusionar con 'Herramientas y accesorios'</t>
  </si>
  <si>
    <t xml:space="preserve">Carros cutters y contenedores | Technofood Colombia</t>
  </si>
  <si>
    <t xml:space="preserve">Carros cutters y contenedores: equipos industriales para alimentos. Distribuidor autorizado en Colombia. Consulte el catálogo y cotice con Technofood.</t>
  </si>
  <si>
    <t xml:space="preserve">carros-y-accesorios</t>
  </si>
  <si>
    <t xml:space="preserve">Carros y accesorios</t>
  </si>
  <si>
    <t xml:space="preserve">Carros y accesorios | Technofood Colombia</t>
  </si>
  <si>
    <t xml:space="preserve">Carros y accesorios: equipos industriales para alimentos. Distribuidor autorizado en Colombia. Consulte el catálogo y cotice con Technofood.</t>
  </si>
  <si>
    <t xml:space="preserve">clips</t>
  </si>
  <si>
    <t xml:space="preserve">Clips</t>
  </si>
  <si>
    <t xml:space="preserve">Clips | Equipos industriales en Colombia – Technofood</t>
  </si>
  <si>
    <t xml:space="preserve">Clips: equipos e insumos industriales para la industria de alimentos. Distribuidor autorizado en Colombia. Consulte el catálogo y cotice con Technofood.</t>
  </si>
  <si>
    <t xml:space="preserve">coccion</t>
  </si>
  <si>
    <t xml:space="preserve">Cocción</t>
  </si>
  <si>
    <t xml:space="preserve">Cocción | Equipos industriales en Colombia – Technofood</t>
  </si>
  <si>
    <t xml:space="preserve">Cocción: equipos e insumos industriales para la industria de alimentos. Distribuidor autorizado en Colombia. Consulte el catálogo y cotice con Technofood.</t>
  </si>
  <si>
    <t xml:space="preserve">coccion-y-tratamiento-termico</t>
  </si>
  <si>
    <t xml:space="preserve">Cocción y tratamiento térmico</t>
  </si>
  <si>
    <t xml:space="preserve">Cocción y tratamiento térmico | Technofood Colombia</t>
  </si>
  <si>
    <t xml:space="preserve">Cocción y tratamiento térmico: equipos industriales para alimentos. Distribuidor autorizado en Colombia. Consulte el catálogo y cotice con Technofood.</t>
  </si>
  <si>
    <t xml:space="preserve">consumibles-de-codificacion-y-marcado</t>
  </si>
  <si>
    <t xml:space="preserve">Consumibles de codificación y marcado</t>
  </si>
  <si>
    <t xml:space="preserve">Fusionar con 'Insumos y consumibles · Línea Cárnica'</t>
  </si>
  <si>
    <t xml:space="preserve">Consumibles de codificación y marcado | Technofood Colombia</t>
  </si>
  <si>
    <t xml:space="preserve">Consumibles de codificación y marcado para la industria de alimentos. Distribuidor autorizado en Colombia. Cotice con Technofood.</t>
  </si>
  <si>
    <t xml:space="preserve">consumibles-de-sacrificio-y-faenado</t>
  </si>
  <si>
    <t xml:space="preserve">Consumibles de sacrificio y faenado</t>
  </si>
  <si>
    <t xml:space="preserve">Consumibles de sacrificio y faenado | Technofood Colombia</t>
  </si>
  <si>
    <t xml:space="preserve">Consumibles de sacrificio y faenado para la industria de alimentos. Distribuidor autorizado en Colombia. Cotice con Technofood.</t>
  </si>
  <si>
    <t xml:space="preserve">control-de-clima-y-enfriamiento</t>
  </si>
  <si>
    <t xml:space="preserve">Control de clima y enfriamiento</t>
  </si>
  <si>
    <t xml:space="preserve">Control de clima y enfriamiento | Technofood Colombia</t>
  </si>
  <si>
    <t xml:space="preserve">Control de clima y enfriamiento: equipos industriales para alimentos. Distribuidor autorizado en Colombia. Consulte el catálogo y cotice con Technofood.</t>
  </si>
  <si>
    <t xml:space="preserve">corte-y-fileteado</t>
  </si>
  <si>
    <t xml:space="preserve">Corte y fileteado</t>
  </si>
  <si>
    <t xml:space="preserve">Corte y fileteado | Technofood Colombia</t>
  </si>
  <si>
    <t xml:space="preserve">Corte y fileteado: equipos industriales para alimentos. Distribuidor autorizado en Colombia. Consulte el catálogo y cotice con Technofood.</t>
  </si>
  <si>
    <t xml:space="preserve">cuchillas-y-repuestos</t>
  </si>
  <si>
    <t xml:space="preserve">Cuchillas y repuestos</t>
  </si>
  <si>
    <t xml:space="preserve">Cuchillas y repuestos | Technofood Colombia</t>
  </si>
  <si>
    <t xml:space="preserve">Cuchillas y repuestos: equipos industriales para alimentos. Distribuidor autorizado en Colombia. Consulte el catálogo y cotice con Technofood.</t>
  </si>
  <si>
    <t xml:space="preserve">camaras-de-fermentacion</t>
  </si>
  <si>
    <t xml:space="preserve">Cámaras de fermentación</t>
  </si>
  <si>
    <t xml:space="preserve">Cámaras de fermentación | Technofood Colombia</t>
  </si>
  <si>
    <t xml:space="preserve">Cámaras de fermentación: equipos industriales para alimentos. Distribuidor autorizado en Colombia. Consulte el catálogo y cotice con Technofood.</t>
  </si>
  <si>
    <t xml:space="preserve">divisoras-y-boleadoras</t>
  </si>
  <si>
    <t xml:space="preserve">Divisoras y boleadoras</t>
  </si>
  <si>
    <t xml:space="preserve">Divisoras y boleadoras | Technofood Colombia</t>
  </si>
  <si>
    <t xml:space="preserve">Divisoras y boleadoras: equipos industriales para alimentos. Distribuidor autorizado en Colombia. Consulte el catálogo y cotice con Technofood.</t>
  </si>
  <si>
    <t xml:space="preserve">dosificadores-y-pulverizadores-insumos-panaderia</t>
  </si>
  <si>
    <t xml:space="preserve">Dosificadores y pulverizadores · Insumos Panadería</t>
  </si>
  <si>
    <t xml:space="preserve">Dosificadores y pulverizadores | Technofood Colombia</t>
  </si>
  <si>
    <t xml:space="preserve">Dosificadores y pulverizadores – Insumos Panadería para la industria de alimentos. Distribuidor autorizado en Colombia. Cotice con Technofood.</t>
  </si>
  <si>
    <t xml:space="preserve">dosificadores-y-pulverizadores-linea-panaderia</t>
  </si>
  <si>
    <t xml:space="preserve">Dosificadores y pulverizadores · Línea Panadería</t>
  </si>
  <si>
    <t xml:space="preserve">Dosificadores y pulverizadores – Línea Panadería para la industria de alimentos. Distribuidor autorizado en Colombia. Cotice con Technofood.</t>
  </si>
  <si>
    <t xml:space="preserve">elevadores</t>
  </si>
  <si>
    <t xml:space="preserve">Elevadores</t>
  </si>
  <si>
    <t xml:space="preserve">Elevadores | Equipos industriales en Colombia – Technofood</t>
  </si>
  <si>
    <t xml:space="preserve">Elevadores: equipos industriales para alimentos. Distribuidor autorizado en Colombia. Consulte el catálogo y cotice con Technofood.</t>
  </si>
  <si>
    <t xml:space="preserve">embutido-y-porcionado</t>
  </si>
  <si>
    <t xml:space="preserve">Embutido y porcionado</t>
  </si>
  <si>
    <t xml:space="preserve">Embutido y porcionado | Technofood Colombia</t>
  </si>
  <si>
    <t xml:space="preserve">Embutido y porcionado: equipos industriales para alimentos. Distribuidor autorizado en Colombia. Consulte el catálogo y cotice con Technofood.</t>
  </si>
  <si>
    <t xml:space="preserve">empacadoras-linea-carnica</t>
  </si>
  <si>
    <t xml:space="preserve">Empacadoras · Línea Cárnica</t>
  </si>
  <si>
    <t xml:space="preserve">Revisar solapamiento con 'Empaque y envasado'</t>
  </si>
  <si>
    <t xml:space="preserve">Empacadoras – Línea Cárnica | Technofood Colombia</t>
  </si>
  <si>
    <t xml:space="preserve">Empacadoras – Línea Cárnica: equipos industriales para alimentos. Distribuidor autorizado en Colombia. Consulte el catálogo y cotice con Technofood.</t>
  </si>
  <si>
    <t xml:space="preserve">empacadoras-linea-panaderia</t>
  </si>
  <si>
    <t xml:space="preserve">Empacadoras · Línea Panadería</t>
  </si>
  <si>
    <t xml:space="preserve">Empacadoras – Línea Panadería | Technofood Colombia</t>
  </si>
  <si>
    <t xml:space="preserve">Empacadoras – Línea Panadería: equipos industriales para alimentos. Distribuidor autorizado en Colombia. Consulte el catálogo y cotice con Technofood.</t>
  </si>
  <si>
    <t xml:space="preserve">empaque-y-envasado</t>
  </si>
  <si>
    <t xml:space="preserve">Empaque y envasado</t>
  </si>
  <si>
    <t xml:space="preserve">Empaque y envasado | Technofood Colombia</t>
  </si>
  <si>
    <t xml:space="preserve">Empaque y envasado: equipos industriales para alimentos. Distribuidor autorizado en Colombia. Consulte el catálogo y cotice con Technofood.</t>
  </si>
  <si>
    <t xml:space="preserve">etiquetado-y-pesaje</t>
  </si>
  <si>
    <t xml:space="preserve">Etiquetado y pesaje</t>
  </si>
  <si>
    <t xml:space="preserve">Etiquetado y pesaje | Technofood Colombia</t>
  </si>
  <si>
    <t xml:space="preserve">Etiquetado y pesaje: equipos industriales para alimentos. Distribuidor autorizado en Colombia. Consulte el catálogo y cotice con Technofood.</t>
  </si>
  <si>
    <t xml:space="preserve">formado-y-rebozado</t>
  </si>
  <si>
    <t xml:space="preserve">Formado y rebozado</t>
  </si>
  <si>
    <t xml:space="preserve">Formado y rebozado | Technofood Colombia</t>
  </si>
  <si>
    <t xml:space="preserve">Formado y rebozado: equipos industriales para alimentos. Distribuidor autorizado en Colombia. Consulte el catálogo y cotice con Technofood.</t>
  </si>
  <si>
    <t xml:space="preserve">formadoras-y-moldeadoras</t>
  </si>
  <si>
    <t xml:space="preserve">Formadoras y moldeadoras</t>
  </si>
  <si>
    <t xml:space="preserve">Formadoras y moldeadoras | Technofood Colombia</t>
  </si>
  <si>
    <t xml:space="preserve">Formadoras y moldeadoras: equipos industriales para alimentos. Distribuidor autorizado en Colombia. Consulte el catálogo y cotice con Technofood.</t>
  </si>
  <si>
    <t xml:space="preserve">galleteras-y-equipos-de-pasteleria</t>
  </si>
  <si>
    <t xml:space="preserve">Galleteras y equipos de pastelería</t>
  </si>
  <si>
    <t xml:space="preserve">Galleteras y equipos de pastelería | Technofood Colombia</t>
  </si>
  <si>
    <t xml:space="preserve">Galleteras y equipos de pastelería: equipos industriales para alimentos. Distribuidor autorizado en Colombia. Consulte el catálogo y cotice con Technofood.</t>
  </si>
  <si>
    <t xml:space="preserve">herramientas-y-accesorios</t>
  </si>
  <si>
    <t xml:space="preserve">Herramientas y accesorios</t>
  </si>
  <si>
    <t xml:space="preserve">Herramientas y accesorios | Technofood Colombia</t>
  </si>
  <si>
    <t xml:space="preserve">Herramientas y accesorios: equipos industriales para alimentos. Distribuidor autorizado en Colombia. Consulte el catálogo y cotice con Technofood.</t>
  </si>
  <si>
    <t xml:space="preserve">higiene-y-sanitizacion-industrial</t>
  </si>
  <si>
    <t xml:space="preserve">Higiene y sanitización industrial</t>
  </si>
  <si>
    <t xml:space="preserve">Higiene y sanitización industrial | Technofood Colombia</t>
  </si>
  <si>
    <t xml:space="preserve">Higiene y sanitización industrial: equipos industriales para alimentos. Distribuidor autorizado en Colombia. Consulte el catálogo y cotice con Technofood.</t>
  </si>
  <si>
    <t xml:space="preserve">hornos</t>
  </si>
  <si>
    <t xml:space="preserve">Hornos</t>
  </si>
  <si>
    <t xml:space="preserve">Hornos | Equipos industriales en Colombia – Technofood</t>
  </si>
  <si>
    <t xml:space="preserve">Hornos: equipos e insumos industriales para la industria de alimentos. Distribuidor autorizado en Colombia. Consulte el catálogo y cotice con Technofood.</t>
  </si>
  <si>
    <t xml:space="preserve">insumos-y-auxiliares-de-panificacion-insumos-panaderia</t>
  </si>
  <si>
    <t xml:space="preserve">Insumos y auxiliares de panificación · Insumos Panadería</t>
  </si>
  <si>
    <t xml:space="preserve">Insumos y auxiliares de panificación | Technofood</t>
  </si>
  <si>
    <t xml:space="preserve">Insumos y auxiliares de panificación – Insumos Panadería para la industria de alimentos. Distribuidor autorizado en Colombia. Cotice con Technofood.</t>
  </si>
  <si>
    <t xml:space="preserve">insumos-y-auxiliares-de-panificacion-linea-panaderia</t>
  </si>
  <si>
    <t xml:space="preserve">Insumos y auxiliares de panificación · Línea Panadería</t>
  </si>
  <si>
    <t xml:space="preserve">Insumos y auxiliares de panificación – Línea Panadería para la industria de alimentos. Distribuidor autorizado en Colombia. Cotice con Technofood.</t>
  </si>
  <si>
    <t xml:space="preserve">insumos-y-consumibles-insumos-carnicos</t>
  </si>
  <si>
    <t xml:space="preserve">Insumos y consumibles · Insumos Cárnicos</t>
  </si>
  <si>
    <t xml:space="preserve">Insumos y consumibles – Insumos Cárnicos | Technofood</t>
  </si>
  <si>
    <t xml:space="preserve">Insumos y consumibles – Insumos Cárnicos para la industria de alimentos. Distribuidor autorizado en Colombia. Cotice con Technofood.</t>
  </si>
  <si>
    <t xml:space="preserve">insumos-y-consumibles-linea-carnica</t>
  </si>
  <si>
    <t xml:space="preserve">Insumos y consumibles · Línea Cárnica</t>
  </si>
  <si>
    <t xml:space="preserve">Insumos y consumibles – Línea Cárnica | Technofood Colombia</t>
  </si>
  <si>
    <t xml:space="preserve">Insumos y consumibles – Línea Cárnica para la industria de alimentos. Distribuidor autorizado en Colombia. Cotice con Technofood.</t>
  </si>
  <si>
    <t xml:space="preserve">inyeccion-y-marinado</t>
  </si>
  <si>
    <t xml:space="preserve">Inyección y marinado</t>
  </si>
  <si>
    <t xml:space="preserve">Inyección y marinado | Technofood Colombia</t>
  </si>
  <si>
    <t xml:space="preserve">Inyección y marinado: equipos industriales para alimentos. Distribuidor autorizado en Colombia. Consulte el catálogo y cotice con Technofood.</t>
  </si>
  <si>
    <t xml:space="preserve">laminadoras</t>
  </si>
  <si>
    <t xml:space="preserve">Laminadoras</t>
  </si>
  <si>
    <t xml:space="preserve">Laminadoras | Equipos industriales en Colombia – Technofood</t>
  </si>
  <si>
    <t xml:space="preserve">Laminadoras: equipos industriales para alimentos. Distribuidor autorizado en Colombia. Consulte el catálogo y cotice con Technofood.</t>
  </si>
  <si>
    <t xml:space="preserve">transporte-y-manipulacion-linea-carnica</t>
  </si>
  <si>
    <t xml:space="preserve">Transporte y manipulación · Línea Cárnica</t>
  </si>
  <si>
    <t xml:space="preserve">Transporte y manipulación – Línea Cárnica | Technofood</t>
  </si>
  <si>
    <t xml:space="preserve">Transporte y manipulación – Línea Cárnica para la industria de alimentos. Distribuidor autorizado en Colombia. Cotice con Technofood.</t>
  </si>
  <si>
    <t xml:space="preserve">transporte-y-manipulacion-insumos-carnicos</t>
  </si>
  <si>
    <t xml:space="preserve">Transporte y manipulación · Insumos Cárnicos</t>
  </si>
  <si>
    <t xml:space="preserve">Fusionar con 'Insumos Cárnicos'</t>
  </si>
  <si>
    <t xml:space="preserve">Transporte y manipulación – Insumos Cárnicos | Technofood</t>
  </si>
  <si>
    <t xml:space="preserve">Transporte y manipulación – Insumos Cárnicos para la industria de alimentos. Distribuidor autorizado en Colombia. Cotice con Technofood.</t>
  </si>
  <si>
    <t xml:space="preserve">tamizadoras</t>
  </si>
  <si>
    <t xml:space="preserve">Tamizadoras</t>
  </si>
  <si>
    <t xml:space="preserve">Fusionar con 'Molienda y mezclado' o 'Herramientas y accesorios'</t>
  </si>
  <si>
    <t xml:space="preserve">Tamizadoras | Equipos industriales en Colombia – Technofood</t>
  </si>
  <si>
    <t xml:space="preserve">Tamizadoras: equipos industriales para alimentos. Distribuidor autorizado en Colombia. Consulte el catálogo y cotice con Technofood.</t>
  </si>
  <si>
    <t xml:space="preserve">repuestos-para-desplume-y-depilado</t>
  </si>
  <si>
    <t xml:space="preserve">Repuestos para desplume y depilado</t>
  </si>
  <si>
    <t xml:space="preserve">Repuestos para desplume y depilado | Technofood Colombia</t>
  </si>
  <si>
    <t xml:space="preserve">Repuestos para desplume y depilado: equipos industriales para alimentos. Distribuidor autorizado en Colombia. Consulte el catálogo y cotice con Technofood.</t>
  </si>
  <si>
    <t xml:space="preserve">rendering-y-subproductos</t>
  </si>
  <si>
    <t xml:space="preserve">Rendering y subproductos</t>
  </si>
  <si>
    <t xml:space="preserve">Rendering y subproductos | Technofood Colombia</t>
  </si>
  <si>
    <t xml:space="preserve">Rendering y subproductos: equipos industriales para alimentos. Distribuidor autorizado en Colombia. Consulte el catálogo y cotice con Technofood.</t>
  </si>
  <si>
    <t xml:space="preserve">refrigeracion-y-abatimiento</t>
  </si>
  <si>
    <t xml:space="preserve">Refrigeración y abatimiento</t>
  </si>
  <si>
    <t xml:space="preserve">Refrigeración y abatimiento | Technofood Colombia</t>
  </si>
  <si>
    <t xml:space="preserve">Refrigeración y abatimiento: equipos industriales para alimentos. Distribuidor autorizado en Colombia. Consulte el catálogo y cotice con Technofood.</t>
  </si>
  <si>
    <t xml:space="preserve">refrigeracion</t>
  </si>
  <si>
    <t xml:space="preserve">Refrigeración</t>
  </si>
  <si>
    <t xml:space="preserve">Fusionar con 'Refrigeración y abatimiento'</t>
  </si>
  <si>
    <t xml:space="preserve">Refrigeración | Technofood Colombia</t>
  </si>
  <si>
    <t xml:space="preserve">Refrigeración: equipos industriales para alimentos. Distribuidor autorizado en Colombia. Consulte el catálogo y cotice con Technofood.</t>
  </si>
  <si>
    <t xml:space="preserve">rebanadoras-y-cortadoras</t>
  </si>
  <si>
    <t xml:space="preserve">Rebanadoras y cortadoras</t>
  </si>
  <si>
    <t xml:space="preserve">Rebanadoras y cortadoras | Technofood Colombia</t>
  </si>
  <si>
    <t xml:space="preserve">Rebanadoras y cortadoras: equipos industriales para alimentos. Distribuidor autorizado en Colombia. Consulte el catálogo y cotice con Technofood.</t>
  </si>
  <si>
    <t xml:space="preserve">pulverizadores-y-equipos-de-aplicacion</t>
  </si>
  <si>
    <t xml:space="preserve">Pulverizadores y equipos de aplicación</t>
  </si>
  <si>
    <t xml:space="preserve">Pulverizadores y equipos de aplicación | Technofood Colombia</t>
  </si>
  <si>
    <t xml:space="preserve">Pulverizadores y equipos de aplicación para la industria de alimentos. Distribuidor autorizado en Colombia. Cotice con Technofood.</t>
  </si>
  <si>
    <t xml:space="preserve">procesamiento-de-aves</t>
  </si>
  <si>
    <t xml:space="preserve">Procesamiento de aves</t>
  </si>
  <si>
    <t xml:space="preserve">Revisar: 2 productos; fusionar con una categoría afín o con 'Línea Cárnica'</t>
  </si>
  <si>
    <t xml:space="preserve">Procesamiento de aves | Technofood Colombia</t>
  </si>
  <si>
    <t xml:space="preserve">Procesamiento de aves: equipos industriales para alimentos. Distribuidor autorizado en Colombia. Consulte el catálogo y cotice con Technofood.</t>
  </si>
  <si>
    <t xml:space="preserve">papel-para-hamburguesa-y-empaque</t>
  </si>
  <si>
    <t xml:space="preserve">Papel para hamburguesa y empaque</t>
  </si>
  <si>
    <t xml:space="preserve">Papel para hamburguesa y empaque | Technofood Colombia</t>
  </si>
  <si>
    <t xml:space="preserve">Papel para hamburguesa y empaque: equipos industriales para alimentos. Distribuidor autorizado en Colombia. Consulte el catálogo y cotice con Technofood.</t>
  </si>
  <si>
    <t xml:space="preserve">molinos</t>
  </si>
  <si>
    <t xml:space="preserve">Molinos</t>
  </si>
  <si>
    <t xml:space="preserve">Fusionar con 'Molienda y mezclado'</t>
  </si>
  <si>
    <t xml:space="preserve">Molinos | Equipos industriales en Colombia – Technofood</t>
  </si>
  <si>
    <t xml:space="preserve">Molinos: equipos e insumos industriales para la industria de alimentos. Distribuidor autorizado en Colombia. Consulte el catálogo y cotice con Technofood.</t>
  </si>
  <si>
    <t xml:space="preserve">molienda-y-mezclado</t>
  </si>
  <si>
    <t xml:space="preserve">Molienda y mezclado</t>
  </si>
  <si>
    <t xml:space="preserve">Molienda y mezclado | Technofood Colombia</t>
  </si>
  <si>
    <t xml:space="preserve">Molienda y mezclado: equipos industriales para alimentos. Distribuidor autorizado en Colombia. Consulte el catálogo y cotice con Technofood.</t>
  </si>
  <si>
    <t xml:space="preserve">lazos-y-grapas</t>
  </si>
  <si>
    <t xml:space="preserve">Lazos y grapas</t>
  </si>
  <si>
    <t xml:space="preserve">Lazos y grapas | Technofood Colombia</t>
  </si>
  <si>
    <t xml:space="preserve">Lazos y grapas: equipos industriales para alimentos. Distribuidor autorizado en Colombia. Consulte el catálogo y cotice con Technofood.</t>
  </si>
  <si>
    <t xml:space="preserve">lavado-de-vajilla-y-utensilios</t>
  </si>
  <si>
    <t xml:space="preserve">Lavado de vajilla y utensilios</t>
  </si>
  <si>
    <t xml:space="preserve">Lavado de vajilla y utensilios | Technofood Colombia</t>
  </si>
  <si>
    <t xml:space="preserve">Lavado de vajilla y utensilios: equipos industriales para alimentos. Distribuidor autorizado en Colombia. Consulte el catálogo y cotice con Technofood.</t>
  </si>
  <si>
    <t xml:space="preserve">amtek-linea-carnica</t>
  </si>
  <si>
    <t xml:space="preserve">AMTEK · Línea Cárnica</t>
  </si>
  <si>
    <t xml:space="preserve">Marca · línea cárnica</t>
  </si>
  <si>
    <t xml:space="preserve">Mantener: clave para búsquedas '[marca] Colombia'; enriquecer texto</t>
  </si>
  <si>
    <t xml:space="preserve">Amtek en Colombia | Línea cárnica – Technofood</t>
  </si>
  <si>
    <t xml:space="preserve">Equipos Amtek para la línea cárnica. Distribuidor autorizado en Colombia con posventa y acompañamiento técnico. Cotice con Technofood.</t>
  </si>
  <si>
    <t xml:space="preserve">awe-linea-carnica</t>
  </si>
  <si>
    <t xml:space="preserve">AWE · Línea Cárnica</t>
  </si>
  <si>
    <t xml:space="preserve">AWE en Colombia | Línea cárnica – Technofood</t>
  </si>
  <si>
    <t xml:space="preserve">Equipos AWE para la línea cárnica. Distribuidor autorizado en Colombia con posventa y acompañamiento técnico. Cotice con Technofood.</t>
  </si>
  <si>
    <t xml:space="preserve">baader-linea-carnica</t>
  </si>
  <si>
    <t xml:space="preserve">BAADER · Línea Cárnica</t>
  </si>
  <si>
    <t xml:space="preserve">Baader en Colombia | Línea cárnica – Technofood</t>
  </si>
  <si>
    <t xml:space="preserve">Equipos Baader para la línea cárnica. Distribuidor autorizado en Colombia con posventa y acompañamiento técnico. Cotice con Technofood.</t>
  </si>
  <si>
    <t xml:space="preserve">bettcher-linea-carnica</t>
  </si>
  <si>
    <t xml:space="preserve">BETTCHER · Línea Cárnica</t>
  </si>
  <si>
    <t xml:space="preserve">Bettcher en Colombia | Línea cárnica – Technofood</t>
  </si>
  <si>
    <t xml:space="preserve">Equipos Bettcher para la línea cárnica. Distribuidor autorizado en Colombia con posventa y acompañamiento técnico. Cotice con Technofood.</t>
  </si>
  <si>
    <t xml:space="preserve">efa-linea-carnica</t>
  </si>
  <si>
    <t xml:space="preserve">EFA · Línea Cárnica</t>
  </si>
  <si>
    <t xml:space="preserve">EFA en Colombia | Línea cárnica – Technofood</t>
  </si>
  <si>
    <t xml:space="preserve">Equipos EFA para la línea cárnica. Distribuidor autorizado en Colombia con posventa y acompañamiento técnico. Cotice con Technofood.</t>
  </si>
  <si>
    <t xml:space="preserve">espera-linea-carnica</t>
  </si>
  <si>
    <t xml:space="preserve">ESPERA · Línea Cárnica</t>
  </si>
  <si>
    <t xml:space="preserve">Espera en Colombia | Línea cárnica – Technofood</t>
  </si>
  <si>
    <t xml:space="preserve">Equipos Espera para la línea cárnica. Distribuidor autorizado en Colombia con posventa y acompañamiento técnico. Cotice con Technofood.</t>
  </si>
  <si>
    <t xml:space="preserve">frey-linea-carnica</t>
  </si>
  <si>
    <t xml:space="preserve">FREY · Línea Cárnica</t>
  </si>
  <si>
    <t xml:space="preserve">Frey en Colombia | Línea cárnica – Technofood</t>
  </si>
  <si>
    <t xml:space="preserve">Equipos Frey para la línea cárnica. Distribuidor autorizado en Colombia con posventa y acompañamiento técnico. Cotice con Technofood.</t>
  </si>
  <si>
    <t xml:space="preserve">gaser-linea-carnica</t>
  </si>
  <si>
    <t xml:space="preserve">GASER · Línea Cárnica</t>
  </si>
  <si>
    <t xml:space="preserve">Gaser en Colombia | Línea cárnica – Technofood</t>
  </si>
  <si>
    <t xml:space="preserve">Equipos Gaser para la línea cárnica. Distribuidor autorizado en Colombia con posventa y acompañamiento técnico. Cotice con Technofood.</t>
  </si>
  <si>
    <t xml:space="preserve">grasselli-linea-carnica</t>
  </si>
  <si>
    <t xml:space="preserve">GRASSELLI · Línea Cárnica</t>
  </si>
  <si>
    <t xml:space="preserve">Grasselli en Colombia | Línea cárnica – Technofood</t>
  </si>
  <si>
    <t xml:space="preserve">Equipos Grasselli para la línea cárnica. Distribuidor autorizado en Colombia con posventa y acompañamiento técnico. Cotice con Technofood.</t>
  </si>
  <si>
    <t xml:space="preserve">holac-linea-carnica</t>
  </si>
  <si>
    <t xml:space="preserve">HOLAC · Línea Cárnica</t>
  </si>
  <si>
    <t xml:space="preserve">Holac en Colombia | Línea cárnica – Technofood</t>
  </si>
  <si>
    <t xml:space="preserve">Equipos Holac para la línea cárnica. Distribuidor autorizado en Colombia con posventa y acompañamiento técnico. Cotice con Technofood.</t>
  </si>
  <si>
    <t xml:space="preserve">international-clip-linea-carnica</t>
  </si>
  <si>
    <t xml:space="preserve">INTERNATIONAL CLIP · Línea Cárnica</t>
  </si>
  <si>
    <t xml:space="preserve">International Clip en Colombia | Línea cárnica – Technofood</t>
  </si>
  <si>
    <t xml:space="preserve">Equipos International Clip para la línea cárnica. Distribuidor autorizado en Colombia con posventa y acompañamiento técnico. Cotice con Technofood.</t>
  </si>
  <si>
    <t xml:space="preserve">jaw-feng-linea-carnica</t>
  </si>
  <si>
    <t xml:space="preserve">JAW FENG · Línea Cárnica</t>
  </si>
  <si>
    <t xml:space="preserve">Jaw Feng en Colombia | Línea cárnica – Technofood</t>
  </si>
  <si>
    <t xml:space="preserve">Equipos Jaw Feng para la línea cárnica. Distribuidor autorizado en Colombia con posventa y acompañamiento técnico. Cotice con Technofood.</t>
  </si>
  <si>
    <t xml:space="preserve">lima-linea-carnica</t>
  </si>
  <si>
    <t xml:space="preserve">LIMA · Línea Cárnica</t>
  </si>
  <si>
    <t xml:space="preserve">Lima en Colombia | Línea cárnica – Technofood</t>
  </si>
  <si>
    <t xml:space="preserve">Equipos Lima para la línea cárnica. Distribuidor autorizado en Colombia con posventa y acompañamiento técnico. Cotice con Technofood.</t>
  </si>
  <si>
    <t xml:space="preserve">maku-linea-carnica</t>
  </si>
  <si>
    <t xml:space="preserve">MAKU · Línea Cárnica</t>
  </si>
  <si>
    <t xml:space="preserve">Maku en Colombia | Línea cárnica – Technofood</t>
  </si>
  <si>
    <t xml:space="preserve">Equipos Maku para la línea cárnica. Distribuidor autorizado en Colombia con posventa y acompañamiento técnico. Cotice con Technofood.</t>
  </si>
  <si>
    <t xml:space="preserve">mayma-linea-carnica</t>
  </si>
  <si>
    <t xml:space="preserve">Mayma · Línea Cárnica</t>
  </si>
  <si>
    <t xml:space="preserve">Mayma en Colombia | Línea cárnica – Technofood</t>
  </si>
  <si>
    <t xml:space="preserve">Equipos Mayma para la línea cárnica. Distribuidor autorizado en Colombia con posventa y acompañamiento técnico. Cotice con Technofood.</t>
  </si>
  <si>
    <t xml:space="preserve">oestergaard-linea-carnica</t>
  </si>
  <si>
    <t xml:space="preserve">OESTERGAARD · Línea Cárnica</t>
  </si>
  <si>
    <t xml:space="preserve">Oestergaard en Colombia | Línea cárnica – Technofood</t>
  </si>
  <si>
    <t xml:space="preserve">Equipos Oestergaard para la línea cárnica. Distribuidor autorizado en Colombia con posventa y acompañamiento técnico. Cotice con Technofood.</t>
  </si>
  <si>
    <t xml:space="preserve">paganini-linea-carnica</t>
  </si>
  <si>
    <t xml:space="preserve">PAGANINI · Línea Cárnica</t>
  </si>
  <si>
    <t xml:space="preserve">Paganini en Colombia | Línea cárnica – Technofood</t>
  </si>
  <si>
    <t xml:space="preserve">Equipos Paganini para la línea cárnica. Distribuidor autorizado en Colombia con posventa y acompañamiento técnico. Cotice con Technofood.</t>
  </si>
  <si>
    <t xml:space="preserve">reich-linea-carnica</t>
  </si>
  <si>
    <t xml:space="preserve">REICH · Línea Cárnica</t>
  </si>
  <si>
    <t xml:space="preserve">Reich en Colombia | Línea cárnica – Technofood</t>
  </si>
  <si>
    <t xml:space="preserve">Equipos Reich para la línea cárnica. Distribuidor autorizado en Colombia con posventa y acompañamiento técnico. Cotice con Technofood.</t>
  </si>
  <si>
    <t xml:space="preserve">seydelmann-linea-carnica</t>
  </si>
  <si>
    <t xml:space="preserve">SEYDELMANN · Línea Cárnica</t>
  </si>
  <si>
    <t xml:space="preserve">Seydelmann en Colombia | Línea cárnica – Technofood</t>
  </si>
  <si>
    <t xml:space="preserve">Equipos Seydelmann para la línea cárnica. Distribuidor autorizado en Colombia con posventa y acompañamiento técnico. Cotice con Technofood.</t>
  </si>
  <si>
    <t xml:space="preserve">supervac-linea-carnica</t>
  </si>
  <si>
    <t xml:space="preserve">SUPERVAC · Línea Cárnica</t>
  </si>
  <si>
    <t xml:space="preserve">Supervac en Colombia | Línea cárnica – Technofood</t>
  </si>
  <si>
    <t xml:space="preserve">Equipos Supervac para la línea cárnica. Distribuidor autorizado en Colombia con posventa y acompañamiento técnico. Cotice con Technofood.</t>
  </si>
  <si>
    <t xml:space="preserve">technofood-linea-carnica</t>
  </si>
  <si>
    <t xml:space="preserve">Technofood · Línea Cárnica</t>
  </si>
  <si>
    <t xml:space="preserve">Technofood en Colombia | Línea cárnica – Technofood</t>
  </si>
  <si>
    <t xml:space="preserve">Equipos Technofood para la línea cárnica. Distribuidor autorizado en Colombia con posventa y acompañamiento técnico. Cotice con Technofood.</t>
  </si>
  <si>
    <t xml:space="preserve">variovac-linea-carnica</t>
  </si>
  <si>
    <t xml:space="preserve">VARIOVAC · Línea Cárnica</t>
  </si>
  <si>
    <t xml:space="preserve">Variovac en Colombia | Línea cárnica – Technofood</t>
  </si>
  <si>
    <t xml:space="preserve">Equipos Variovac para la línea cárnica. Distribuidor autorizado en Colombia con posventa y acompañamiento técnico. Cotice con Technofood.</t>
  </si>
  <si>
    <t xml:space="preserve">velec-linea-carnica</t>
  </si>
  <si>
    <t xml:space="preserve">VELEC · Línea Cárnica</t>
  </si>
  <si>
    <t xml:space="preserve">Velec en Colombia | Línea cárnica – Technofood</t>
  </si>
  <si>
    <t xml:space="preserve">Equipos Velec para la línea cárnica. Distribuidor autorizado en Colombia con posventa y acompañamiento técnico. Cotice con Technofood.</t>
  </si>
  <si>
    <t xml:space="preserve">alba-linea-panaderia</t>
  </si>
  <si>
    <t xml:space="preserve">Alba · Línea Panadería</t>
  </si>
  <si>
    <t xml:space="preserve">Marca · línea panadería</t>
  </si>
  <si>
    <t xml:space="preserve">Alba en Colombia | Línea de panadería – Technofood</t>
  </si>
  <si>
    <t xml:space="preserve">Equipos Alba para panaderías y pastelerías. Distribuidor autorizado en Colombia con posventa y acompañamiento técnico. Cotice con Technofood.</t>
  </si>
  <si>
    <t xml:space="preserve">boyens-linea-panaderia</t>
  </si>
  <si>
    <t xml:space="preserve">Boyens · Línea Panadería</t>
  </si>
  <si>
    <t xml:space="preserve">Boyens en Colombia | Línea de panadería – Technofood</t>
  </si>
  <si>
    <t xml:space="preserve">Equipos Boyens para panaderías y pastelerías. Distribuidor autorizado en Colombia con posventa y acompañamiento técnico. Cotice con Technofood.</t>
  </si>
  <si>
    <t xml:space="preserve">dams-linea-panaderia</t>
  </si>
  <si>
    <t xml:space="preserve">Dams · Línea Panadería</t>
  </si>
  <si>
    <t xml:space="preserve">Dams en Colombia | Línea de panadería – Technofood</t>
  </si>
  <si>
    <t xml:space="preserve">Equipos Dams para panaderías y pastelerías. Distribuidor autorizado en Colombia con posventa y acompañamiento técnico. Cotice con Technofood.</t>
  </si>
  <si>
    <t xml:space="preserve">dovaina-linea-panaderia</t>
  </si>
  <si>
    <t xml:space="preserve">Dovaina · Línea Panadería</t>
  </si>
  <si>
    <t xml:space="preserve">Dovaina en Colombia | Línea de panadería – Technofood</t>
  </si>
  <si>
    <t xml:space="preserve">Equipos Dovaina para panaderías y pastelerías. Distribuidor autorizado en Colombia con posventa y acompañamiento técnico. Cotice con Technofood.</t>
  </si>
  <si>
    <t xml:space="preserve">fagor-linea-panaderia</t>
  </si>
  <si>
    <t xml:space="preserve">Fagor · Línea Panadería</t>
  </si>
  <si>
    <t xml:space="preserve">Fagor en Colombia | Línea de panadería – Technofood</t>
  </si>
  <si>
    <t xml:space="preserve">Equipos Fagor para panaderías y pastelerías. Distribuidor autorizado en Colombia con posventa y acompañamiento técnico. Cotice con Technofood.</t>
  </si>
  <si>
    <t xml:space="preserve">ferneto-linea-panaderia</t>
  </si>
  <si>
    <t xml:space="preserve">Ferneto · Línea Panadería</t>
  </si>
  <si>
    <t xml:space="preserve">Ferneto en Colombia | Línea de panadería – Technofood</t>
  </si>
  <si>
    <t xml:space="preserve">Equipos Ferneto para panaderías y pastelerías. Distribuidor autorizado en Colombia con posventa y acompañamiento técnico. Cotice con Technofood.</t>
  </si>
  <si>
    <t xml:space="preserve">inoxforni-linea-panaderia</t>
  </si>
  <si>
    <t xml:space="preserve">Inoxforni · Línea Panadería</t>
  </si>
  <si>
    <t xml:space="preserve">Inoxforni en Colombia | Línea de panadería – Technofood</t>
  </si>
  <si>
    <t xml:space="preserve">Equipos Inoxforni para panaderías y pastelerías. Distribuidor autorizado en Colombia con posventa y acompañamiento técnico. Cotice con Technofood.</t>
  </si>
  <si>
    <t xml:space="preserve">logiudice-linea-panaderia</t>
  </si>
  <si>
    <t xml:space="preserve">Logiudice · Línea Panadería</t>
  </si>
  <si>
    <t xml:space="preserve">Logiudice en Colombia | Línea de panadería – Technofood</t>
  </si>
  <si>
    <t xml:space="preserve">Equipos Logiudice para panaderías y pastelerías. Distribuidor autorizado en Colombia con posventa y acompañamiento técnico. Cotice con Technofood.</t>
  </si>
  <si>
    <t xml:space="preserve">matas-linea-panaderia</t>
  </si>
  <si>
    <t xml:space="preserve">Matas · Línea Panadería</t>
  </si>
  <si>
    <t xml:space="preserve">Matas en Colombia | Línea de panadería – Technofood</t>
  </si>
  <si>
    <t xml:space="preserve">Equipos Matas para panaderías y pastelerías. Distribuidor autorizado en Colombia con posventa y acompañamiento técnico. Cotice con Technofood.</t>
  </si>
  <si>
    <t xml:space="preserve">mayma-linea-panaderia</t>
  </si>
  <si>
    <t xml:space="preserve">Mayma · Línea Panadería</t>
  </si>
  <si>
    <t xml:space="preserve">Mayma en Colombia | Línea de panadería – Technofood</t>
  </si>
  <si>
    <t xml:space="preserve">Equipos Mayma para panaderías y pastelerías. Distribuidor autorizado en Colombia con posventa y acompañamiento técnico. Cotice con Technofood.</t>
  </si>
  <si>
    <t xml:space="preserve">mecateck-linea-panaderia</t>
  </si>
  <si>
    <t xml:space="preserve">Mecateck · Línea Panadería</t>
  </si>
  <si>
    <t xml:space="preserve">Mecateck en Colombia | Línea de panadería – Technofood</t>
  </si>
  <si>
    <t xml:space="preserve">Equipos Mecateck para panaderías y pastelerías. Distribuidor autorizado en Colombia con posventa y acompañamiento técnico. Cotice con Technofood.</t>
  </si>
  <si>
    <t xml:space="preserve">memak-linea-panaderia</t>
  </si>
  <si>
    <t xml:space="preserve">Memak · Línea Panadería</t>
  </si>
  <si>
    <t xml:space="preserve">Memak en Colombia | Línea de panadería – Technofood</t>
  </si>
  <si>
    <t xml:space="preserve">Equipos Memak para panaderías y pastelerías. Distribuidor autorizado en Colombia con posventa y acompañamiento técnico. Cotice con Technofood.</t>
  </si>
  <si>
    <t xml:space="preserve">mimac-linea-panaderia</t>
  </si>
  <si>
    <t xml:space="preserve">Mimac · Línea Panadería</t>
  </si>
  <si>
    <t xml:space="preserve">Mimac en Colombia | Línea de panadería – Technofood</t>
  </si>
  <si>
    <t xml:space="preserve">Equipos Mimac para panaderías y pastelerías. Distribuidor autorizado en Colombia con posventa y acompañamiento técnico. Cotice con Technofood.</t>
  </si>
  <si>
    <t xml:space="preserve">rollmatic-linea-panaderia</t>
  </si>
  <si>
    <t xml:space="preserve">Rollmatic · Línea Panadería</t>
  </si>
  <si>
    <t xml:space="preserve">Rollmatic en Colombia | Línea de panadería – Technofood</t>
  </si>
  <si>
    <t xml:space="preserve">Equipos Rollmatic para panaderías y pastelerías. Distribuidor autorizado en Colombia con posventa y acompañamiento técnico. Cotice con Technofood.</t>
  </si>
  <si>
    <t xml:space="preserve">sartori-linea-panaderia</t>
  </si>
  <si>
    <t xml:space="preserve">Sartori · Línea Panadería</t>
  </si>
  <si>
    <t xml:space="preserve">Sartori en Colombia | Línea de panadería – Technofood</t>
  </si>
  <si>
    <t xml:space="preserve">Equipos Sartori para panaderías y pastelerías. Distribuidor autorizado en Colombia con posventa y acompañamiento técnico. Cotice con Technofood.</t>
  </si>
  <si>
    <t xml:space="preserve">technofood-linea-panaderia</t>
  </si>
  <si>
    <t xml:space="preserve">Technofood · Línea Panadería</t>
  </si>
  <si>
    <t xml:space="preserve">Technofood en Colombia | Línea de panadería – Technofood</t>
  </si>
  <si>
    <t xml:space="preserve">Equipos Technofood para panaderías y pastelerías. Distribuidor autorizado en Colombia con posventa y acompañamiento técnico. Cotice con Technofood.</t>
  </si>
  <si>
    <t xml:space="preserve">zanolli-linea-panaderia</t>
  </si>
  <si>
    <t xml:space="preserve">Zanolli · Línea Panadería</t>
  </si>
  <si>
    <t xml:space="preserve">Zanolli en Colombia | Línea de panadería – Technofood</t>
  </si>
  <si>
    <t xml:space="preserve">Equipos Zanolli para panaderías y pastelerías. Distribuidor autorizado en Colombia con posventa y acompañamiento técnico. Cotice con Technofood.</t>
  </si>
  <si>
    <t xml:space="preserve">awe-insumos-carnicos</t>
  </si>
  <si>
    <t xml:space="preserve">AWE · Insumos Cárnicos</t>
  </si>
  <si>
    <t xml:space="preserve">Marca · insumos cárnicos</t>
  </si>
  <si>
    <t xml:space="preserve">Fusionar con 'Insumos Cárnicos' (muy pocos productos por marca)</t>
  </si>
  <si>
    <t xml:space="preserve">AWE: insumos para la industria cárnica | Technofood</t>
  </si>
  <si>
    <t xml:space="preserve">Insumos AWE para la industria cárnica. Distribuidor autorizado en Colombia. Consulte las referencias disponibles y cotice con Technofood.</t>
  </si>
  <si>
    <t xml:space="preserve">baader-insumos-carnicos</t>
  </si>
  <si>
    <t xml:space="preserve">BAADER · Insumos Cárnicos</t>
  </si>
  <si>
    <t xml:space="preserve">Baader: insumos para la industria cárnica | Technofood</t>
  </si>
  <si>
    <t xml:space="preserve">Insumos Baader para la industria cárnica. Distribuidor autorizado en Colombia. Consulte las referencias disponibles y cotice con Technofood.</t>
  </si>
  <si>
    <t xml:space="preserve">efa-insumos-carnicos</t>
  </si>
  <si>
    <t xml:space="preserve">EFA · Insumos Cárnicos</t>
  </si>
  <si>
    <t xml:space="preserve">EFA: insumos para la industria cárnica | Technofood</t>
  </si>
  <si>
    <t xml:space="preserve">Insumos EFA para la industria cárnica. Distribuidor autorizado en Colombia. Consulte las referencias disponibles y cotice con Technofood.</t>
  </si>
  <si>
    <t xml:space="preserve">gaser-insumos-carnicos</t>
  </si>
  <si>
    <t xml:space="preserve">GASER · Insumos Cárnicos</t>
  </si>
  <si>
    <t xml:space="preserve">Gaser: insumos para la industria cárnica | Technofood</t>
  </si>
  <si>
    <t xml:space="preserve">Insumos Gaser para la industria cárnica. Distribuidor autorizado en Colombia. Consulte las referencias disponibles y cotice con Technofood.</t>
  </si>
  <si>
    <t xml:space="preserve">hp-insumos-carnicos</t>
  </si>
  <si>
    <t xml:space="preserve">HP · Insumos Cárnicos</t>
  </si>
  <si>
    <t xml:space="preserve">HP: insumos para la industria cárnica | Technofood</t>
  </si>
  <si>
    <t xml:space="preserve">Insumos HP para la industria cárnica. Distribuidor autorizado en Colombia. Consulte las referencias disponibles y cotice con Technofood.</t>
  </si>
  <si>
    <t xml:space="preserve">international-clip-insumos-carnicos</t>
  </si>
  <si>
    <t xml:space="preserve">INTERNATIONAL CLIP · Insumos Cárnicos</t>
  </si>
  <si>
    <t xml:space="preserve">International Clip: insumos cárnicos | Technofood</t>
  </si>
  <si>
    <t xml:space="preserve">Insumos International Clip para la industria cárnica. Distribuidor autorizado en Colombia. Consulte las referencias disponibles y cotice con Technofood.</t>
  </si>
  <si>
    <t xml:space="preserve">taesa-insumos-carnicos</t>
  </si>
  <si>
    <t xml:space="preserve">Taesa · Insumos Cárnicos</t>
  </si>
  <si>
    <t xml:space="preserve">Taesa: insumos para la industria cárnica | Technofood</t>
  </si>
  <si>
    <t xml:space="preserve">Insumos Taesa para la industria cárnica. Distribuidor autorizado en Colombia. Consulte las referencias disponibles y cotice con Technofood.</t>
  </si>
  <si>
    <t xml:space="preserve">boyens-insumos-panaderia</t>
  </si>
  <si>
    <t xml:space="preserve">Boyens · Insumos Panadería</t>
  </si>
  <si>
    <t xml:space="preserve">Marca · insumos panadería</t>
  </si>
  <si>
    <t xml:space="preserve">Boyens: insumos para panadería | Technofood</t>
  </si>
  <si>
    <t xml:space="preserve">Insumos Boyens para panadería. Distribuidor autorizado en Colombia. Consulte las referencias disponibles y cotice con Technofood.</t>
  </si>
  <si>
    <t xml:space="preserve">romms-insumos-panaderia</t>
  </si>
  <si>
    <t xml:space="preserve">Romms · Insumos Panadería</t>
  </si>
  <si>
    <t xml:space="preserve">Fusionar con 'Insumos Panadería' (1 producto)</t>
  </si>
  <si>
    <t xml:space="preserve">Romms: insumos para panadería | Technofood</t>
  </si>
  <si>
    <t xml:space="preserve">Insumos Romms para panadería. Distribuidor autorizado en Colombia. Consulte las referencias disponibles y cotice con Technofood.</t>
  </si>
  <si>
    <t xml:space="preserve">technofood-insumos-panaderia</t>
  </si>
  <si>
    <t xml:space="preserve">Technofood · Insumos Panadería</t>
  </si>
  <si>
    <t xml:space="preserve">Technofood: insumos para panadería | Technofood</t>
  </si>
  <si>
    <t xml:space="preserve">Insumos Technofood para panadería. Distribuidor autorizado en Colombia. Consulte las referencias disponibles y cotice con Technofood.</t>
  </si>
  <si>
    <t xml:space="preserve">Colección</t>
  </si>
  <si>
    <t xml:space="preserve">H1 sugerido</t>
  </si>
  <si>
    <t xml:space="preserve">Texto introductorio (borrador)</t>
  </si>
  <si>
    <t xml:space="preserve">Palabras</t>
  </si>
  <si>
    <t xml:space="preserve">Pregunta frecuente</t>
  </si>
  <si>
    <t xml:space="preserve">Respuesta</t>
  </si>
  <si>
    <t xml:space="preserve">Maquinaria y equipos para la industria cárnica</t>
  </si>
  <si>
    <t xml:space="preserve">Technofood distribuye en Colombia equipos para cada etapa del proceso cárnico: beneficio, corte y acondicionamiento, valor agregado, empaque e higiene. Encuentre maquinaria de marcas como Baader, Bettcher, Efa, Frey, Seydelmann y Variovac, con asesoría para elegir el equipo según su planta.</t>
  </si>
  <si>
    <t xml:space="preserve">¿Cómo elijo la maquinaria para mi planta cárnica?</t>
  </si>
  <si>
    <t xml:space="preserve">Depende del tipo de proteína, el volumen de producción y la etapa del proceso. Un asesor de Technofood puede ayudarle a definir el equipo adecuado: solicite una cotización.</t>
  </si>
  <si>
    <t xml:space="preserve">Maquinaria para panaderías y pastelerías</t>
  </si>
  <si>
    <t xml:space="preserve">Hornos, amasadoras, divisoras, laminadoras, cámaras de fermentación y más para panaderías, pastelerías y plantas de pan. Technofood representa marcas como Logiudice, Rollmatic, Inoxforni, Ferneto y Mimac y lo acompaña en la selección del equipo.</t>
  </si>
  <si>
    <t xml:space="preserve">¿Qué equipos necesito para montar una panadería industrial?</t>
  </si>
  <si>
    <t xml:space="preserve">Lo básico suele incluir amasado, división y formado, fermentación y horneado, pero depende de su producción y productos. Un asesor de Technofood lo orienta.</t>
  </si>
  <si>
    <t xml:space="preserve">Insumos y consumibles para la industria cárnica</t>
  </si>
  <si>
    <t xml:space="preserve">Clips, lazos, cartuchos de tinta, repuestos de desplume y otros consumibles para mantener su línea cárnica en operación. Consulte las referencias disponibles y cotice con un asesor de Technofood.</t>
  </si>
  <si>
    <t xml:space="preserve">¿Cómo sé qué insumo es compatible con mi máquina?</t>
  </si>
  <si>
    <t xml:space="preserve">Indíquenos la marca y el modelo de su equipo y un asesor de Technofood le confirma la referencia adecuada.</t>
  </si>
  <si>
    <t xml:space="preserve">Insumos y consumibles para panadería</t>
  </si>
  <si>
    <t xml:space="preserve">Agentes desmoldantes y abrillantadores, pulverizadores, bandejas de aluminio, carretes de atar y cuchillas para rebanar pan. Cotice con un asesor de Technofood.</t>
  </si>
  <si>
    <t xml:space="preserve">¿Puedo pedir insumos junto con mi equipo?</t>
  </si>
  <si>
    <t xml:space="preserve">Sí. Indique en la cotización los insumos que necesita y un asesor de Technofood los incluye en la propuesta.</t>
  </si>
  <si>
    <t xml:space="preserve">Hornos industriales para panadería y proceso cárnico</t>
  </si>
  <si>
    <t xml:space="preserve">Hornos rotativos, de túnel, de convección y para proceso cárnico de marcas como Logiudice, Inoxforni, Mecateck, Zanolli, Reich y Technofood. Cuéntenos su producción diaria y un asesor le recomienda el modelo.</t>
  </si>
  <si>
    <t xml:space="preserve">¿Qué horno industrial necesito para mi panadería?</t>
  </si>
  <si>
    <t xml:space="preserve">Depende de la producción diaria, el tipo de producto y el espacio disponible. Un asesor de Technofood puede dimensionar el equipo con usted.</t>
  </si>
  <si>
    <t xml:space="preserve">Amasadoras industriales</t>
  </si>
  <si>
    <t xml:space="preserve">Amasadoras de espiral y de otros tipos de marcas como Logiudice, Inoxforni, Zanolli y Memak para panaderías y plantas de pan. Compare modelos y solicite su cotización.</t>
  </si>
  <si>
    <t xml:space="preserve">¿Cómo elijo la capacidad de una amasadora?</t>
  </si>
  <si>
    <t xml:space="preserve">Se define por la cantidad de masa por lote y el tipo de producto. Un asesor de Technofood le ayuda a elegir el tamaño adecuado.</t>
  </si>
  <si>
    <t xml:space="preserve">Divisoras y boleadoras de masa</t>
  </si>
  <si>
    <t xml:space="preserve">Divisoras, boleadoras y redondeadores de marcas como Dams, Rollmatic, Sartori, Ferneto, Memak y Matas. Cotice el equipo según su volumen de producción.</t>
  </si>
  <si>
    <t xml:space="preserve">¿Qué diferencia hay entre una divisora y una boleadora?</t>
  </si>
  <si>
    <t xml:space="preserve">La divisora porciona la masa en piezas del peso deseado y la boleadora les da forma redonda. Algunos equipos hacen ambas funciones.</t>
  </si>
  <si>
    <t xml:space="preserve">Laminadoras de masa</t>
  </si>
  <si>
    <t xml:space="preserve">Laminadoras manuales, compactas, semiautomáticas y automáticas de marcas como Rollmatic y Ferneto para panadería y pastelería. Consulte los modelos y cotice.</t>
  </si>
  <si>
    <t xml:space="preserve">¿Qué laminadora es adecuada para mi producción?</t>
  </si>
  <si>
    <t xml:space="preserve">Depende del tipo de masa, el volumen y el espacio. Un asesor de Technofood puede recomendarle el modelo.</t>
  </si>
  <si>
    <t xml:space="preserve">Cámaras de fermentación industriales</t>
  </si>
  <si>
    <t xml:space="preserve">Cámaras de fermentación y de reposo de marcas como Logiudice, Ferneto, Inoxforni y Technofood. Cotice según su capacidad y número de carros.</t>
  </si>
  <si>
    <t xml:space="preserve">¿Cómo dimensiono una cámara de fermentación?</t>
  </si>
  <si>
    <t xml:space="preserve">Se define por la cantidad de producto y el número de carros o bandejas. Un asesor de Technofood le ayuda a calcularlo.</t>
  </si>
  <si>
    <t xml:space="preserve">Equipos de corte y fileteado</t>
  </si>
  <si>
    <t xml:space="preserve">Sierras, fileteadoras, descortezadoras y rebanadoras de marcas como Efa, Grasselli, Holac y Technofood para el procesamiento cárnico. Cotice con un asesor.</t>
  </si>
  <si>
    <t xml:space="preserve">¿Qué equipo de corte necesito para mi línea?</t>
  </si>
  <si>
    <t xml:space="preserve">Depende del producto (carne, hueso, queso) y del tipo de corte. Un asesor de Technofood le ayuda a elegir.</t>
  </si>
  <si>
    <t xml:space="preserve">Inyectoras, tumblers y masajeadoras</t>
  </si>
  <si>
    <t xml:space="preserve">Inyectoras de salmuera, tumblers, mezcladoras de salmuera y masajeadoras al vacío de marcas como Maku y Technofood para la industria cárnica. Solicite su cotización.</t>
  </si>
  <si>
    <t xml:space="preserve">¿Cuál es la diferencia entre un tumbler y una masajeadora?</t>
  </si>
  <si>
    <t xml:space="preserve">Ambos trabajan la carne mediante movimiento para mejorar la absorción de salmuera. El modelo adecuado depende del producto y el volumen; un asesor le orienta.</t>
  </si>
  <si>
    <t xml:space="preserve">Molinos, mezcladoras y cutters</t>
  </si>
  <si>
    <t xml:space="preserve">Molinos de carne, mezcladoras, cutters y emulsificadoras de marcas como Seydelmann, Oestergaard y Technofood. Cotice el equipo para su planta.</t>
  </si>
  <si>
    <t xml:space="preserve">¿Qué equipo necesito para moler y mezclar carne?</t>
  </si>
  <si>
    <t xml:space="preserve">Depende del producto final y el volumen. Un asesor de Technofood le recomienda la combinación de equipos adecuada.</t>
  </si>
  <si>
    <t xml:space="preserve">Embutidoras, clipadoras y porcionado</t>
  </si>
  <si>
    <t xml:space="preserve">Embutidoras al vacío, clipadoras, dosificadores y cortadoras de salchichas de marcas como Frey, International Clip y Velec. Solicite su cotización.</t>
  </si>
  <si>
    <t xml:space="preserve">¿Qué necesito para embutir y clipar mi producto?</t>
  </si>
  <si>
    <t xml:space="preserve">Depende del producto, el calibre y el volumen. Un asesor de Technofood le ayuda a elegir embutidora y clipadora compatibles.</t>
  </si>
  <si>
    <t xml:space="preserve">Máquinas de empaque y envasado</t>
  </si>
  <si>
    <t xml:space="preserve">Termoformadoras, envasadoras al vacío y empacadoras flow pack de marcas como Variovac, Jaw Feng, Supervac y Mayma. Cotice la solución para su producto.</t>
  </si>
  <si>
    <t xml:space="preserve">¿Qué máquina de empaque necesito?</t>
  </si>
  <si>
    <t xml:space="preserve">Depende del producto, el tipo de envase y la producción. Un asesor de Technofood le recomienda la solución adecuada.</t>
  </si>
  <si>
    <t xml:space="preserve">Higiene y sanitización para plantas de alimentos</t>
  </si>
  <si>
    <t xml:space="preserve">Estaciones de lavado de manos, limpiadores de suelas, lavadoras de calzado y accesorios de higiene de la marca AWE para plantas de alimentos. Cotice con un asesor.</t>
  </si>
  <si>
    <t xml:space="preserve">¿Qué equipos de higiene necesita una planta de alimentos?</t>
  </si>
  <si>
    <t xml:space="preserve">Depende de los puntos de acceso y del flujo de personal. Un asesor de Technofood le ayuda a definir la configuración.</t>
  </si>
  <si>
    <t xml:space="preserve">Equipos para la industria de quesos</t>
  </si>
  <si>
    <t xml:space="preserve">Cortadoras y equipos para procesar quesos de marcas como Holac y Zanolli. Cotice con un asesor de Technofood.</t>
  </si>
  <si>
    <t xml:space="preserve">¿Qué equipo necesito para cortar queso?</t>
  </si>
  <si>
    <t xml:space="preserve">Depende del tipo de queso y del formato de corte deseado. Un asesor de Technofood le recomienda el modelo.</t>
  </si>
  <si>
    <t xml:space="preserve">Equipos para la industria porcina</t>
  </si>
  <si>
    <t xml:space="preserve">Maquinaria para plantas de proceso porcino: Taesa, Lima, Maku, Holac, Grasselli, Gaser, Variovac, Jaw Feng, Supervac, Efa, Bettcher y Technofood. Consulte el catálogo y cotice.</t>
  </si>
  <si>
    <t xml:space="preserve">¿Qué equipos necesita una planta porcina?</t>
  </si>
  <si>
    <t xml:space="preserve">Depende de la etapa del proceso (beneficio, corte, valor agregado, empaque). Un asesor de Technofood le ayuda a definirlos.</t>
  </si>
  <si>
    <t xml:space="preserve">Equipos para la industria bovina</t>
  </si>
  <si>
    <t xml:space="preserve">Maquinaria para plantas de proceso bovino: Taesa, Lima, Maku, Holac, Grasselli, Gaser, Variovac, Jaw Feng, Supervac, Efa, Bettcher y Technofood. Consulte el catálogo y cotice.</t>
  </si>
  <si>
    <t xml:space="preserve">¿Qué equipos necesita una planta bovina?</t>
  </si>
  <si>
    <t xml:space="preserve">Depende de la etapa del proceso y del volumen. Un asesor de Technofood le ayuda a definirlos.</t>
  </si>
  <si>
    <t xml:space="preserve">Equipos para la industria avícola</t>
  </si>
  <si>
    <t xml:space="preserve">Maquinaria para plantas de proceso avícola: Baader, Lima, Bettcher, Maku, Gaser, Variovac y Technofood. Consulte el catálogo y cotice.</t>
  </si>
  <si>
    <t xml:space="preserve">¿Qué equipos necesita una planta avícola?</t>
  </si>
  <si>
    <t xml:space="preserve">Depende de la etapa del proceso (desplume, evisceración, corte, empaque) y del volumen. Un asesor le orienta.</t>
  </si>
  <si>
    <t xml:space="preserve">Equipos para la industria piscícola</t>
  </si>
  <si>
    <t xml:space="preserve">Maquinaria para plantas de proceso piscícola: Baader, Lima, Bettcher, Maku, Gaser, Variovac y Technofood. Consulte el catálogo y cotice.</t>
  </si>
  <si>
    <t xml:space="preserve">¿Qué equipos necesita una planta piscícola?</t>
  </si>
  <si>
    <t xml:space="preserve">Handle de la colección</t>
  </si>
  <si>
    <t xml:space="preserve">Palabra clave principal (propuesta)</t>
  </si>
  <si>
    <t xml:space="preserve">Secundarias (propuestas)</t>
  </si>
  <si>
    <t xml:space="preserve">Intención</t>
  </si>
  <si>
    <t xml:space="preserve">hornos industriales para panadería</t>
  </si>
  <si>
    <t xml:space="preserve">horno rotativo industrial; horno de túnel; hornos para panadería Colombia</t>
  </si>
  <si>
    <t xml:space="preserve">Comercial / transaccional</t>
  </si>
  <si>
    <t xml:space="preserve">amasadora industrial</t>
  </si>
  <si>
    <t xml:space="preserve">amasadora de espiral; amasadora para panadería; amasadora industrial Colombia</t>
  </si>
  <si>
    <t xml:space="preserve">divisora boleadora</t>
  </si>
  <si>
    <t xml:space="preserve">divisora de masa; boleadora cónica; divisora de masa industrial</t>
  </si>
  <si>
    <t xml:space="preserve">laminadora de masa industrial</t>
  </si>
  <si>
    <t xml:space="preserve">laminadora para panadería; laminadora automática</t>
  </si>
  <si>
    <t xml:space="preserve">cámara de fermentación industrial</t>
  </si>
  <si>
    <t xml:space="preserve">cámara de fermentación para panadería; cámara de fermentación para carros</t>
  </si>
  <si>
    <t xml:space="preserve">sierra para carne industrial</t>
  </si>
  <si>
    <t xml:space="preserve">fileteadora de carne; máquina descortezadora; rebanadora industrial</t>
  </si>
  <si>
    <t xml:space="preserve">inyectora de salmuera</t>
  </si>
  <si>
    <t xml:space="preserve">tumbler al vacío; masajeadora de carne al vacío</t>
  </si>
  <si>
    <t xml:space="preserve">molino de carne industrial</t>
  </si>
  <si>
    <t xml:space="preserve">mezcladora de carne; cutter industrial; emulsificadora</t>
  </si>
  <si>
    <t xml:space="preserve">embutidora al vacío</t>
  </si>
  <si>
    <t xml:space="preserve">clipadora; máquina para embutidos; dosificador de embutidos</t>
  </si>
  <si>
    <t xml:space="preserve">máquina de envasado al vacío</t>
  </si>
  <si>
    <t xml:space="preserve">termoformadora; empacadora flow pack; termoselladora de bandejas</t>
  </si>
  <si>
    <t xml:space="preserve">lavabo industrial para plantas de alimentos</t>
  </si>
  <si>
    <t xml:space="preserve">limpiador de suelas industrial; estación de higiene de manos; lavadora de calzado</t>
  </si>
  <si>
    <t xml:space="preserve">maquinaria para industria cárnica</t>
  </si>
  <si>
    <t xml:space="preserve">equipos para plantas de proceso cárnico; maquinaria para frigorífico</t>
  </si>
  <si>
    <t xml:space="preserve">Comercial / informativa</t>
  </si>
  <si>
    <t xml:space="preserve">maquinaria para panadería</t>
  </si>
  <si>
    <t xml:space="preserve">equipos para panadería industrial; maquinaria para pastelería</t>
  </si>
  <si>
    <t xml:space="preserve">(colecciones de marca)</t>
  </si>
  <si>
    <t xml:space="preserve">Marca · Línea</t>
  </si>
  <si>
    <t xml:space="preserve">[marca] Colombia</t>
  </si>
  <si>
    <t xml:space="preserve">distribuidor autorizado [marca]; [marca] repuestos Colombia; [marca] cotización</t>
  </si>
  <si>
    <t xml:space="preserve">Navegacional / transaccional</t>
  </si>
  <si>
    <t xml:space="preserve">máquina para cortar queso industrial</t>
  </si>
  <si>
    <t xml:space="preserve">cortadora de queso; cubicadora de queso</t>
  </si>
  <si>
    <t xml:space="preserve">Nota: son propuestas cualitativas. No se incluyó volumen de búsqueda porque no hay acceso a Search Console ni a Semrush; validar antes de priorizar.</t>
  </si>
  <si>
    <t xml:space="preserve">Title</t>
  </si>
  <si>
    <t xml:space="preserve">SEO Title</t>
  </si>
  <si>
    <t xml:space="preserve">SEO Description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</si>
</sst>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587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587A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587A"/>
        <bgColor rgb="FF003366"/>
      </patternFill>
    </fill>
    <fill>
      <patternFill patternType="solid">
        <fgColor rgb="FFE3F1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C"/>
      </left>
      <right style="thin">
        <color rgb="FFD0D7DC"/>
      </right>
      <top style="thin">
        <color rgb="FFD0D7DC"/>
      </top>
      <bottom style="thin">
        <color rgb="FFD0D7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58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1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3F1F7"/>
      <rgbColor rgb="FF660066"/>
      <rgbColor rgb="FFFF8080"/>
      <rgbColor rgb="FF00587A"/>
      <rgbColor rgb="FFD0D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n">
        <f aca="false">COUNTA(Productos!A2:A243)</f>
        <v>242</v>
      </c>
      <c r="C5" s="5" t="s">
        <v>6</v>
      </c>
    </row>
    <row r="6" customFormat="false" ht="23.85" hidden="false" customHeight="false" outlineLevel="0" collapsed="false">
      <c r="A6" s="4" t="s">
        <v>7</v>
      </c>
      <c r="B6" s="4" t="n">
        <v>0</v>
      </c>
      <c r="C6" s="5" t="s">
        <v>8</v>
      </c>
    </row>
    <row r="7" customFormat="false" ht="15" hidden="false" customHeight="false" outlineLevel="0" collapsed="false">
      <c r="A7" s="4" t="s">
        <v>9</v>
      </c>
      <c r="B7" s="4" t="n">
        <f aca="false">COUNTA(Colecciones!A2:A119)</f>
        <v>118</v>
      </c>
      <c r="C7" s="5" t="s">
        <v>10</v>
      </c>
    </row>
    <row r="8" customFormat="false" ht="23.85" hidden="false" customHeight="false" outlineLevel="0" collapsed="false">
      <c r="A8" s="4" t="s">
        <v>11</v>
      </c>
      <c r="B8" s="4" t="n">
        <v>0</v>
      </c>
      <c r="C8" s="5" t="s">
        <v>12</v>
      </c>
    </row>
    <row r="9" customFormat="false" ht="15" hidden="false" customHeight="false" outlineLevel="0" collapsed="false">
      <c r="A9" s="4" t="s">
        <v>13</v>
      </c>
      <c r="B9" s="4" t="n">
        <f aca="false">SUMPRODUCT(--NOT(EXACT(Productos!C2:C243,Productos!D2:D243)))</f>
        <v>225</v>
      </c>
      <c r="C9" s="5" t="s">
        <v>14</v>
      </c>
    </row>
    <row r="10" customFormat="false" ht="15" hidden="false" customHeight="false" outlineLevel="0" collapsed="false">
      <c r="A10" s="4" t="s">
        <v>15</v>
      </c>
      <c r="B10" s="4" t="n">
        <f aca="false">COUNTIF(Productos!G2:G243,"OK")</f>
        <v>242</v>
      </c>
      <c r="C10" s="5" t="s">
        <v>16</v>
      </c>
    </row>
    <row r="11" customFormat="false" ht="15" hidden="false" customHeight="false" outlineLevel="0" collapsed="false">
      <c r="A11" s="4" t="s">
        <v>17</v>
      </c>
      <c r="B11" s="4" t="n">
        <f aca="false">COUNTIF(Productos!J2:J243,"OK")</f>
        <v>242</v>
      </c>
      <c r="C11" s="5" t="s">
        <v>18</v>
      </c>
    </row>
    <row r="12" customFormat="false" ht="15" hidden="false" customHeight="false" outlineLevel="0" collapsed="false">
      <c r="A12" s="4" t="s">
        <v>19</v>
      </c>
      <c r="B12" s="4" t="n">
        <f aca="false">COUNTIF(Colecciones!C2:C119,0)</f>
        <v>8</v>
      </c>
      <c r="C12" s="5" t="s">
        <v>20</v>
      </c>
    </row>
    <row r="13" customFormat="false" ht="15" hidden="false" customHeight="false" outlineLevel="0" collapsed="false">
      <c r="A13" s="4" t="s">
        <v>21</v>
      </c>
      <c r="B13" s="4" t="n">
        <f aca="false">COUNTIF(Colecciones!C2:C119,1)</f>
        <v>19</v>
      </c>
      <c r="C13" s="5" t="s">
        <v>22</v>
      </c>
    </row>
    <row r="14" customFormat="false" ht="15" hidden="false" customHeight="false" outlineLevel="0" collapsed="false">
      <c r="A14" s="4" t="s">
        <v>23</v>
      </c>
      <c r="B14" s="4" t="n">
        <f aca="false">COUNTIF(Colecciones!F2:F119,"Fusionar*")+COUNTIF(Colecciones!F2:F119,"Revisar*")</f>
        <v>25</v>
      </c>
      <c r="C14" s="5" t="s">
        <v>24</v>
      </c>
    </row>
    <row r="15" customFormat="false" ht="15" hidden="false" customHeight="false" outlineLevel="0" collapsed="false">
      <c r="A15" s="4" t="s">
        <v>25</v>
      </c>
      <c r="B15" s="4" t="n">
        <v>1</v>
      </c>
      <c r="C15" s="5" t="s">
        <v>26</v>
      </c>
    </row>
    <row r="17" customFormat="false" ht="15" hidden="false" customHeight="false" outlineLevel="0" collapsed="false">
      <c r="A17" s="6" t="s">
        <v>27</v>
      </c>
    </row>
    <row r="18" customFormat="false" ht="27.75" hidden="false" customHeight="true" outlineLevel="0" collapsed="false">
      <c r="A18" s="2" t="s">
        <v>28</v>
      </c>
      <c r="B18" s="2"/>
      <c r="C18" s="2"/>
    </row>
    <row r="19" customFormat="false" ht="27.75" hidden="false" customHeight="true" outlineLevel="0" collapsed="false">
      <c r="A19" s="2" t="s">
        <v>29</v>
      </c>
      <c r="B19" s="2"/>
      <c r="C19" s="2"/>
    </row>
    <row r="20" customFormat="false" ht="27.75" hidden="false" customHeight="true" outlineLevel="0" collapsed="false">
      <c r="A20" s="2" t="s">
        <v>30</v>
      </c>
      <c r="B20" s="2"/>
      <c r="C20" s="2"/>
    </row>
    <row r="21" customFormat="false" ht="27.75" hidden="false" customHeight="true" outlineLevel="0" collapsed="false">
      <c r="A21" s="2" t="s">
        <v>31</v>
      </c>
      <c r="B21" s="2"/>
      <c r="C21" s="2"/>
    </row>
    <row r="22" customFormat="false" ht="27.75" hidden="false" customHeight="true" outlineLevel="0" collapsed="false">
      <c r="A22" s="2" t="s">
        <v>32</v>
      </c>
      <c r="B22" s="2"/>
      <c r="C22" s="2"/>
    </row>
    <row r="23" customFormat="false" ht="27.75" hidden="false" customHeight="true" outlineLevel="0" collapsed="false">
      <c r="A23" s="2" t="s">
        <v>33</v>
      </c>
      <c r="B23" s="2"/>
      <c r="C23" s="2"/>
    </row>
    <row r="25" customFormat="false" ht="15" hidden="false" customHeight="false" outlineLevel="0" collapsed="false">
      <c r="A25" s="6" t="s">
        <v>34</v>
      </c>
    </row>
    <row r="26" customFormat="false" ht="42" hidden="false" customHeight="true" outlineLevel="0" collapsed="false">
      <c r="A26" s="2" t="s">
        <v>35</v>
      </c>
      <c r="B26" s="2"/>
      <c r="C26" s="2"/>
    </row>
    <row r="27" customFormat="false" ht="42" hidden="false" customHeight="true" outlineLevel="0" collapsed="false">
      <c r="A27" s="2" t="s">
        <v>36</v>
      </c>
      <c r="B27" s="2"/>
      <c r="C27" s="2"/>
    </row>
    <row r="28" customFormat="false" ht="42" hidden="false" customHeight="true" outlineLevel="0" collapsed="false">
      <c r="A28" s="2" t="s">
        <v>37</v>
      </c>
      <c r="B28" s="2"/>
      <c r="C28" s="2"/>
    </row>
    <row r="29" customFormat="false" ht="42" hidden="false" customHeight="true" outlineLevel="0" collapsed="false">
      <c r="A29" s="2" t="s">
        <v>38</v>
      </c>
      <c r="B29" s="2"/>
      <c r="C29" s="2"/>
    </row>
    <row r="30" customFormat="false" ht="42" hidden="false" customHeight="true" outlineLevel="0" collapsed="false">
      <c r="A30" s="2" t="s">
        <v>39</v>
      </c>
      <c r="B30" s="2"/>
      <c r="C30" s="2"/>
    </row>
    <row r="31" customFormat="false" ht="42" hidden="false" customHeight="true" outlineLevel="0" collapsed="false">
      <c r="A31" s="2" t="s">
        <v>40</v>
      </c>
      <c r="B31" s="2"/>
      <c r="C31" s="2"/>
    </row>
    <row r="33" customFormat="false" ht="15" hidden="false" customHeight="false" outlineLevel="0" collapsed="false">
      <c r="A33" s="6" t="s">
        <v>41</v>
      </c>
    </row>
    <row r="34" customFormat="false" ht="15" hidden="false" customHeight="true" outlineLevel="0" collapsed="false">
      <c r="A34" s="2" t="s">
        <v>42</v>
      </c>
      <c r="B34" s="2"/>
      <c r="C34" s="2"/>
    </row>
    <row r="35" customFormat="false" ht="15" hidden="false" customHeight="true" outlineLevel="0" collapsed="false">
      <c r="A35" s="2" t="s">
        <v>43</v>
      </c>
      <c r="B35" s="2"/>
      <c r="C35" s="2"/>
    </row>
    <row r="36" customFormat="false" ht="15" hidden="false" customHeight="true" outlineLevel="0" collapsed="false">
      <c r="A36" s="2" t="s">
        <v>44</v>
      </c>
      <c r="B36" s="2"/>
      <c r="C36" s="2"/>
    </row>
    <row r="37" customFormat="false" ht="15" hidden="false" customHeight="true" outlineLevel="0" collapsed="false">
      <c r="A37" s="2" t="s">
        <v>45</v>
      </c>
      <c r="B37" s="2"/>
      <c r="C37" s="2"/>
    </row>
    <row r="38" customFormat="false" ht="15" hidden="false" customHeight="true" outlineLevel="0" collapsed="false">
      <c r="A38" s="2" t="s">
        <v>46</v>
      </c>
      <c r="B38" s="2"/>
      <c r="C38" s="2"/>
    </row>
  </sheetData>
  <mergeCells count="18">
    <mergeCell ref="A2:C2"/>
    <mergeCell ref="A18:C18"/>
    <mergeCell ref="A19:C19"/>
    <mergeCell ref="A20:C20"/>
    <mergeCell ref="A21:C21"/>
    <mergeCell ref="A22:C22"/>
    <mergeCell ref="A23:C23"/>
    <mergeCell ref="A26:C26"/>
    <mergeCell ref="A27:C27"/>
    <mergeCell ref="A28:C28"/>
    <mergeCell ref="A29:C29"/>
    <mergeCell ref="A30:C30"/>
    <mergeCell ref="A31:C31"/>
    <mergeCell ref="A34:C34"/>
    <mergeCell ref="A35:C35"/>
    <mergeCell ref="A36:C36"/>
    <mergeCell ref="A37:C37"/>
    <mergeCell ref="A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4" min="3" style="0" width="38"/>
    <col collapsed="false" customWidth="true" hidden="false" outlineLevel="0" max="5" min="5" style="0" width="44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60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50"/>
    <col collapsed="false" customWidth="true" hidden="false" outlineLevel="0" max="12" min="12" style="0" width="60"/>
  </cols>
  <sheetData>
    <row r="1" customFormat="false" ht="31.5" hidden="false" customHeight="true" outlineLevel="0" collapsed="false">
      <c r="A1" s="7" t="s">
        <v>47</v>
      </c>
      <c r="B1" s="7" t="s">
        <v>48</v>
      </c>
      <c r="C1" s="7" t="s">
        <v>49</v>
      </c>
      <c r="D1" s="7" t="s">
        <v>50</v>
      </c>
      <c r="E1" s="7" t="s">
        <v>51</v>
      </c>
      <c r="F1" s="7" t="s">
        <v>52</v>
      </c>
      <c r="G1" s="7" t="s">
        <v>53</v>
      </c>
      <c r="H1" s="7" t="s">
        <v>54</v>
      </c>
      <c r="I1" s="7" t="s">
        <v>55</v>
      </c>
      <c r="J1" s="7" t="s">
        <v>56</v>
      </c>
      <c r="K1" s="7" t="s">
        <v>57</v>
      </c>
      <c r="L1" s="7" t="s">
        <v>58</v>
      </c>
    </row>
    <row r="2" customFormat="false" ht="35.05" hidden="false" customHeight="false" outlineLevel="0" collapsed="false">
      <c r="A2" s="8" t="s">
        <v>59</v>
      </c>
      <c r="B2" s="8" t="s">
        <v>60</v>
      </c>
      <c r="C2" s="9" t="s">
        <v>61</v>
      </c>
      <c r="D2" s="10" t="s">
        <v>62</v>
      </c>
      <c r="E2" s="10" t="s">
        <v>63</v>
      </c>
      <c r="F2" s="8" t="n">
        <f aca="false">LEN(E2)</f>
        <v>60</v>
      </c>
      <c r="G2" s="8" t="str">
        <f aca="false">IF(F2&lt;=60,"OK","Largo")</f>
        <v>OK</v>
      </c>
      <c r="H2" s="10" t="s">
        <v>64</v>
      </c>
      <c r="I2" s="8" t="n">
        <f aca="false">LEN(H2)</f>
        <v>147</v>
      </c>
      <c r="J2" s="8" t="str">
        <f aca="false">IF(AND(I2&gt;=120,I2&lt;=155),"OK",IF(I2&lt;120,"Corta","Larga"))</f>
        <v>OK</v>
      </c>
      <c r="K2" s="10" t="s">
        <v>65</v>
      </c>
      <c r="L2" s="9" t="s">
        <v>66</v>
      </c>
    </row>
    <row r="3" customFormat="false" ht="23.85" hidden="false" customHeight="false" outlineLevel="0" collapsed="false">
      <c r="A3" s="8" t="s">
        <v>67</v>
      </c>
      <c r="B3" s="8" t="s">
        <v>68</v>
      </c>
      <c r="C3" s="9" t="s">
        <v>69</v>
      </c>
      <c r="D3" s="10" t="s">
        <v>70</v>
      </c>
      <c r="E3" s="10" t="s">
        <v>71</v>
      </c>
      <c r="F3" s="8" t="n">
        <f aca="false">LEN(E3)</f>
        <v>52</v>
      </c>
      <c r="G3" s="8" t="str">
        <f aca="false">IF(F3&lt;=60,"OK","Largo")</f>
        <v>OK</v>
      </c>
      <c r="H3" s="10" t="s">
        <v>72</v>
      </c>
      <c r="I3" s="8" t="n">
        <f aca="false">LEN(H3)</f>
        <v>127</v>
      </c>
      <c r="J3" s="8" t="str">
        <f aca="false">IF(AND(I3&gt;=120,I3&lt;=155),"OK",IF(I3&lt;120,"Corta","Larga"))</f>
        <v>OK</v>
      </c>
      <c r="K3" s="10" t="s">
        <v>73</v>
      </c>
      <c r="L3" s="9" t="s">
        <v>74</v>
      </c>
    </row>
    <row r="4" customFormat="false" ht="35.05" hidden="false" customHeight="false" outlineLevel="0" collapsed="false">
      <c r="A4" s="8" t="s">
        <v>75</v>
      </c>
      <c r="B4" s="8" t="s">
        <v>76</v>
      </c>
      <c r="C4" s="9" t="s">
        <v>77</v>
      </c>
      <c r="D4" s="10" t="s">
        <v>78</v>
      </c>
      <c r="E4" s="10" t="s">
        <v>79</v>
      </c>
      <c r="F4" s="8" t="n">
        <f aca="false">LEN(E4)</f>
        <v>49</v>
      </c>
      <c r="G4" s="8" t="str">
        <f aca="false">IF(F4&lt;=60,"OK","Largo")</f>
        <v>OK</v>
      </c>
      <c r="H4" s="10" t="s">
        <v>80</v>
      </c>
      <c r="I4" s="8" t="n">
        <f aca="false">LEN(H4)</f>
        <v>154</v>
      </c>
      <c r="J4" s="8" t="str">
        <f aca="false">IF(AND(I4&gt;=120,I4&lt;=155),"OK",IF(I4&lt;120,"Corta","Larga"))</f>
        <v>OK</v>
      </c>
      <c r="K4" s="10" t="s">
        <v>81</v>
      </c>
      <c r="L4" s="9" t="s">
        <v>66</v>
      </c>
    </row>
    <row r="5" customFormat="false" ht="35.05" hidden="false" customHeight="false" outlineLevel="0" collapsed="false">
      <c r="A5" s="8" t="s">
        <v>82</v>
      </c>
      <c r="B5" s="8" t="s">
        <v>60</v>
      </c>
      <c r="C5" s="9" t="s">
        <v>83</v>
      </c>
      <c r="D5" s="10" t="s">
        <v>84</v>
      </c>
      <c r="E5" s="10" t="s">
        <v>85</v>
      </c>
      <c r="F5" s="8" t="n">
        <f aca="false">LEN(E5)</f>
        <v>57</v>
      </c>
      <c r="G5" s="8" t="str">
        <f aca="false">IF(F5&lt;=60,"OK","Largo")</f>
        <v>OK</v>
      </c>
      <c r="H5" s="10" t="s">
        <v>86</v>
      </c>
      <c r="I5" s="8" t="n">
        <f aca="false">LEN(H5)</f>
        <v>153</v>
      </c>
      <c r="J5" s="8" t="str">
        <f aca="false">IF(AND(I5&gt;=120,I5&lt;=155),"OK",IF(I5&lt;120,"Corta","Larga"))</f>
        <v>OK</v>
      </c>
      <c r="K5" s="10" t="s">
        <v>87</v>
      </c>
      <c r="L5" s="9" t="s">
        <v>66</v>
      </c>
    </row>
    <row r="6" customFormat="false" ht="35.05" hidden="false" customHeight="false" outlineLevel="0" collapsed="false">
      <c r="A6" s="8" t="s">
        <v>88</v>
      </c>
      <c r="B6" s="8" t="s">
        <v>60</v>
      </c>
      <c r="C6" s="9" t="s">
        <v>89</v>
      </c>
      <c r="D6" s="10" t="s">
        <v>90</v>
      </c>
      <c r="E6" s="10" t="s">
        <v>91</v>
      </c>
      <c r="F6" s="8" t="n">
        <f aca="false">LEN(E6)</f>
        <v>55</v>
      </c>
      <c r="G6" s="8" t="str">
        <f aca="false">IF(F6&lt;=60,"OK","Largo")</f>
        <v>OK</v>
      </c>
      <c r="H6" s="10" t="s">
        <v>92</v>
      </c>
      <c r="I6" s="8" t="n">
        <f aca="false">LEN(H6)</f>
        <v>151</v>
      </c>
      <c r="J6" s="8" t="str">
        <f aca="false">IF(AND(I6&gt;=120,I6&lt;=155),"OK",IF(I6&lt;120,"Corta","Larga"))</f>
        <v>OK</v>
      </c>
      <c r="K6" s="10" t="s">
        <v>93</v>
      </c>
      <c r="L6" s="9" t="s">
        <v>66</v>
      </c>
    </row>
    <row r="7" customFormat="false" ht="35.05" hidden="false" customHeight="false" outlineLevel="0" collapsed="false">
      <c r="A7" s="8" t="s">
        <v>94</v>
      </c>
      <c r="B7" s="8" t="s">
        <v>95</v>
      </c>
      <c r="C7" s="9" t="s">
        <v>96</v>
      </c>
      <c r="D7" s="10" t="s">
        <v>97</v>
      </c>
      <c r="E7" s="10" t="s">
        <v>97</v>
      </c>
      <c r="F7" s="8" t="n">
        <f aca="false">LEN(E7)</f>
        <v>51</v>
      </c>
      <c r="G7" s="8" t="str">
        <f aca="false">IF(F7&lt;=60,"OK","Largo")</f>
        <v>OK</v>
      </c>
      <c r="H7" s="10" t="s">
        <v>98</v>
      </c>
      <c r="I7" s="8" t="n">
        <f aca="false">LEN(H7)</f>
        <v>128</v>
      </c>
      <c r="J7" s="8" t="str">
        <f aca="false">IF(AND(I7&gt;=120,I7&lt;=155),"OK",IF(I7&lt;120,"Corta","Larga"))</f>
        <v>OK</v>
      </c>
      <c r="K7" s="10" t="s">
        <v>99</v>
      </c>
      <c r="L7" s="9" t="s">
        <v>100</v>
      </c>
    </row>
    <row r="8" customFormat="false" ht="35.05" hidden="false" customHeight="false" outlineLevel="0" collapsed="false">
      <c r="A8" s="8" t="s">
        <v>101</v>
      </c>
      <c r="B8" s="8" t="s">
        <v>95</v>
      </c>
      <c r="C8" s="9" t="s">
        <v>102</v>
      </c>
      <c r="D8" s="10" t="s">
        <v>103</v>
      </c>
      <c r="E8" s="10" t="s">
        <v>104</v>
      </c>
      <c r="F8" s="8" t="n">
        <f aca="false">LEN(E8)</f>
        <v>46</v>
      </c>
      <c r="G8" s="8" t="str">
        <f aca="false">IF(F8&lt;=60,"OK","Largo")</f>
        <v>OK</v>
      </c>
      <c r="H8" s="10" t="s">
        <v>105</v>
      </c>
      <c r="I8" s="8" t="n">
        <f aca="false">LEN(H8)</f>
        <v>136</v>
      </c>
      <c r="J8" s="8" t="str">
        <f aca="false">IF(AND(I8&gt;=120,I8&lt;=155),"OK",IF(I8&lt;120,"Corta","Larga"))</f>
        <v>OK</v>
      </c>
      <c r="K8" s="10" t="s">
        <v>106</v>
      </c>
      <c r="L8" s="9" t="s">
        <v>107</v>
      </c>
    </row>
    <row r="9" customFormat="false" ht="35.05" hidden="false" customHeight="false" outlineLevel="0" collapsed="false">
      <c r="A9" s="8" t="s">
        <v>108</v>
      </c>
      <c r="B9" s="8" t="s">
        <v>95</v>
      </c>
      <c r="C9" s="9" t="s">
        <v>109</v>
      </c>
      <c r="D9" s="10" t="s">
        <v>110</v>
      </c>
      <c r="E9" s="10" t="s">
        <v>110</v>
      </c>
      <c r="F9" s="8" t="n">
        <f aca="false">LEN(E9)</f>
        <v>58</v>
      </c>
      <c r="G9" s="8" t="str">
        <f aca="false">IF(F9&lt;=60,"OK","Largo")</f>
        <v>OK</v>
      </c>
      <c r="H9" s="10" t="s">
        <v>111</v>
      </c>
      <c r="I9" s="8" t="n">
        <f aca="false">LEN(H9)</f>
        <v>135</v>
      </c>
      <c r="J9" s="8" t="str">
        <f aca="false">IF(AND(I9&gt;=120,I9&lt;=155),"OK",IF(I9&lt;120,"Corta","Larga"))</f>
        <v>OK</v>
      </c>
      <c r="K9" s="10" t="s">
        <v>112</v>
      </c>
      <c r="L9" s="9" t="s">
        <v>66</v>
      </c>
    </row>
    <row r="10" customFormat="false" ht="35.05" hidden="false" customHeight="false" outlineLevel="0" collapsed="false">
      <c r="A10" s="8" t="s">
        <v>113</v>
      </c>
      <c r="B10" s="8" t="s">
        <v>95</v>
      </c>
      <c r="C10" s="9" t="s">
        <v>114</v>
      </c>
      <c r="D10" s="10" t="s">
        <v>115</v>
      </c>
      <c r="E10" s="10" t="s">
        <v>116</v>
      </c>
      <c r="F10" s="8" t="n">
        <f aca="false">LEN(E10)</f>
        <v>48</v>
      </c>
      <c r="G10" s="8" t="str">
        <f aca="false">IF(F10&lt;=60,"OK","Largo")</f>
        <v>OK</v>
      </c>
      <c r="H10" s="10" t="s">
        <v>117</v>
      </c>
      <c r="I10" s="8" t="n">
        <f aca="false">LEN(H10)</f>
        <v>126</v>
      </c>
      <c r="J10" s="8" t="str">
        <f aca="false">IF(AND(I10&gt;=120,I10&lt;=155),"OK",IF(I10&lt;120,"Corta","Larga"))</f>
        <v>OK</v>
      </c>
      <c r="K10" s="10" t="s">
        <v>118</v>
      </c>
      <c r="L10" s="9" t="s">
        <v>107</v>
      </c>
    </row>
    <row r="11" customFormat="false" ht="23.85" hidden="false" customHeight="false" outlineLevel="0" collapsed="false">
      <c r="A11" s="8" t="s">
        <v>119</v>
      </c>
      <c r="B11" s="8" t="s">
        <v>95</v>
      </c>
      <c r="C11" s="9" t="s">
        <v>120</v>
      </c>
      <c r="D11" s="10" t="s">
        <v>121</v>
      </c>
      <c r="E11" s="10" t="s">
        <v>121</v>
      </c>
      <c r="F11" s="8" t="n">
        <f aca="false">LEN(E11)</f>
        <v>52</v>
      </c>
      <c r="G11" s="8" t="str">
        <f aca="false">IF(F11&lt;=60,"OK","Largo")</f>
        <v>OK</v>
      </c>
      <c r="H11" s="10" t="s">
        <v>122</v>
      </c>
      <c r="I11" s="8" t="n">
        <f aca="false">LEN(H11)</f>
        <v>129</v>
      </c>
      <c r="J11" s="8" t="str">
        <f aca="false">IF(AND(I11&gt;=120,I11&lt;=155),"OK",IF(I11&lt;120,"Corta","Larga"))</f>
        <v>OK</v>
      </c>
      <c r="K11" s="10" t="s">
        <v>123</v>
      </c>
      <c r="L11" s="9" t="s">
        <v>66</v>
      </c>
    </row>
    <row r="12" customFormat="false" ht="35.05" hidden="false" customHeight="false" outlineLevel="0" collapsed="false">
      <c r="A12" s="8" t="s">
        <v>124</v>
      </c>
      <c r="B12" s="8" t="s">
        <v>95</v>
      </c>
      <c r="C12" s="9" t="s">
        <v>125</v>
      </c>
      <c r="D12" s="10" t="s">
        <v>126</v>
      </c>
      <c r="E12" s="10" t="s">
        <v>127</v>
      </c>
      <c r="F12" s="8" t="n">
        <f aca="false">LEN(E12)</f>
        <v>55</v>
      </c>
      <c r="G12" s="8" t="str">
        <f aca="false">IF(F12&lt;=60,"OK","Largo")</f>
        <v>OK</v>
      </c>
      <c r="H12" s="10" t="s">
        <v>128</v>
      </c>
      <c r="I12" s="8" t="n">
        <f aca="false">LEN(H12)</f>
        <v>151</v>
      </c>
      <c r="J12" s="8" t="str">
        <f aca="false">IF(AND(I12&gt;=120,I12&lt;=155),"OK",IF(I12&lt;120,"Corta","Larga"))</f>
        <v>OK</v>
      </c>
      <c r="K12" s="10" t="s">
        <v>129</v>
      </c>
      <c r="L12" s="9" t="s">
        <v>66</v>
      </c>
    </row>
    <row r="13" customFormat="false" ht="23.85" hidden="false" customHeight="false" outlineLevel="0" collapsed="false">
      <c r="A13" s="8" t="s">
        <v>130</v>
      </c>
      <c r="B13" s="8" t="s">
        <v>95</v>
      </c>
      <c r="C13" s="9" t="s">
        <v>131</v>
      </c>
      <c r="D13" s="10" t="s">
        <v>132</v>
      </c>
      <c r="E13" s="10" t="s">
        <v>132</v>
      </c>
      <c r="F13" s="8" t="n">
        <f aca="false">LEN(E13)</f>
        <v>48</v>
      </c>
      <c r="G13" s="8" t="str">
        <f aca="false">IF(F13&lt;=60,"OK","Largo")</f>
        <v>OK</v>
      </c>
      <c r="H13" s="10" t="s">
        <v>133</v>
      </c>
      <c r="I13" s="8" t="n">
        <f aca="false">LEN(H13)</f>
        <v>125</v>
      </c>
      <c r="J13" s="8" t="str">
        <f aca="false">IF(AND(I13&gt;=120,I13&lt;=155),"OK",IF(I13&lt;120,"Corta","Larga"))</f>
        <v>OK</v>
      </c>
      <c r="K13" s="10" t="s">
        <v>134</v>
      </c>
      <c r="L13" s="9" t="s">
        <v>66</v>
      </c>
    </row>
    <row r="14" customFormat="false" ht="35.05" hidden="false" customHeight="false" outlineLevel="0" collapsed="false">
      <c r="A14" s="8" t="s">
        <v>135</v>
      </c>
      <c r="B14" s="8" t="s">
        <v>95</v>
      </c>
      <c r="C14" s="9" t="s">
        <v>136</v>
      </c>
      <c r="D14" s="10" t="s">
        <v>137</v>
      </c>
      <c r="E14" s="10" t="s">
        <v>138</v>
      </c>
      <c r="F14" s="8" t="n">
        <f aca="false">LEN(E14)</f>
        <v>53</v>
      </c>
      <c r="G14" s="8" t="str">
        <f aca="false">IF(F14&lt;=60,"OK","Largo")</f>
        <v>OK</v>
      </c>
      <c r="H14" s="10" t="s">
        <v>139</v>
      </c>
      <c r="I14" s="8" t="n">
        <f aca="false">LEN(H14)</f>
        <v>140</v>
      </c>
      <c r="J14" s="8" t="str">
        <f aca="false">IF(AND(I14&gt;=120,I14&lt;=155),"OK",IF(I14&lt;120,"Corta","Larga"))</f>
        <v>OK</v>
      </c>
      <c r="K14" s="10" t="s">
        <v>140</v>
      </c>
      <c r="L14" s="9" t="s">
        <v>66</v>
      </c>
    </row>
    <row r="15" customFormat="false" ht="23.85" hidden="false" customHeight="false" outlineLevel="0" collapsed="false">
      <c r="A15" s="8" t="s">
        <v>141</v>
      </c>
      <c r="B15" s="8" t="s">
        <v>95</v>
      </c>
      <c r="C15" s="9" t="s">
        <v>142</v>
      </c>
      <c r="D15" s="10" t="s">
        <v>143</v>
      </c>
      <c r="E15" s="10" t="s">
        <v>143</v>
      </c>
      <c r="F15" s="8" t="n">
        <f aca="false">LEN(E15)</f>
        <v>52</v>
      </c>
      <c r="G15" s="8" t="str">
        <f aca="false">IF(F15&lt;=60,"OK","Largo")</f>
        <v>OK</v>
      </c>
      <c r="H15" s="10" t="s">
        <v>144</v>
      </c>
      <c r="I15" s="8" t="n">
        <f aca="false">LEN(H15)</f>
        <v>129</v>
      </c>
      <c r="J15" s="8" t="str">
        <f aca="false">IF(AND(I15&gt;=120,I15&lt;=155),"OK",IF(I15&lt;120,"Corta","Larga"))</f>
        <v>OK</v>
      </c>
      <c r="K15" s="10" t="s">
        <v>145</v>
      </c>
      <c r="L15" s="9" t="s">
        <v>66</v>
      </c>
    </row>
    <row r="16" customFormat="false" ht="35.05" hidden="false" customHeight="false" outlineLevel="0" collapsed="false">
      <c r="A16" s="8" t="s">
        <v>146</v>
      </c>
      <c r="B16" s="8" t="s">
        <v>95</v>
      </c>
      <c r="C16" s="9" t="s">
        <v>147</v>
      </c>
      <c r="D16" s="10" t="s">
        <v>148</v>
      </c>
      <c r="E16" s="10" t="s">
        <v>149</v>
      </c>
      <c r="F16" s="8" t="n">
        <f aca="false">LEN(E16)</f>
        <v>57</v>
      </c>
      <c r="G16" s="8" t="str">
        <f aca="false">IF(F16&lt;=60,"OK","Largo")</f>
        <v>OK</v>
      </c>
      <c r="H16" s="10" t="s">
        <v>150</v>
      </c>
      <c r="I16" s="8" t="n">
        <f aca="false">LEN(H16)</f>
        <v>153</v>
      </c>
      <c r="J16" s="8" t="str">
        <f aca="false">IF(AND(I16&gt;=120,I16&lt;=155),"OK",IF(I16&lt;120,"Corta","Larga"))</f>
        <v>OK</v>
      </c>
      <c r="K16" s="10" t="s">
        <v>151</v>
      </c>
      <c r="L16" s="9" t="s">
        <v>66</v>
      </c>
    </row>
    <row r="17" customFormat="false" ht="35.05" hidden="false" customHeight="false" outlineLevel="0" collapsed="false">
      <c r="A17" s="8" t="s">
        <v>152</v>
      </c>
      <c r="B17" s="8" t="s">
        <v>153</v>
      </c>
      <c r="C17" s="9" t="s">
        <v>154</v>
      </c>
      <c r="D17" s="10" t="s">
        <v>155</v>
      </c>
      <c r="E17" s="10" t="s">
        <v>156</v>
      </c>
      <c r="F17" s="8" t="n">
        <f aca="false">LEN(E17)</f>
        <v>55</v>
      </c>
      <c r="G17" s="8" t="str">
        <f aca="false">IF(F17&lt;=60,"OK","Largo")</f>
        <v>OK</v>
      </c>
      <c r="H17" s="10" t="s">
        <v>157</v>
      </c>
      <c r="I17" s="8" t="n">
        <f aca="false">LEN(H17)</f>
        <v>142</v>
      </c>
      <c r="J17" s="8" t="str">
        <f aca="false">IF(AND(I17&gt;=120,I17&lt;=155),"OK",IF(I17&lt;120,"Corta","Larga"))</f>
        <v>OK</v>
      </c>
      <c r="K17" s="10" t="s">
        <v>158</v>
      </c>
      <c r="L17" s="9" t="s">
        <v>159</v>
      </c>
    </row>
    <row r="18" customFormat="false" ht="35.05" hidden="false" customHeight="false" outlineLevel="0" collapsed="false">
      <c r="A18" s="8" t="s">
        <v>160</v>
      </c>
      <c r="B18" s="8" t="s">
        <v>153</v>
      </c>
      <c r="C18" s="9" t="s">
        <v>161</v>
      </c>
      <c r="D18" s="10" t="s">
        <v>162</v>
      </c>
      <c r="E18" s="10" t="s">
        <v>163</v>
      </c>
      <c r="F18" s="8" t="n">
        <f aca="false">LEN(E18)</f>
        <v>45</v>
      </c>
      <c r="G18" s="8" t="str">
        <f aca="false">IF(F18&lt;=60,"OK","Largo")</f>
        <v>OK</v>
      </c>
      <c r="H18" s="10" t="s">
        <v>164</v>
      </c>
      <c r="I18" s="8" t="n">
        <f aca="false">LEN(H18)</f>
        <v>150</v>
      </c>
      <c r="J18" s="8" t="str">
        <f aca="false">IF(AND(I18&gt;=120,I18&lt;=155),"OK",IF(I18&lt;120,"Corta","Larga"))</f>
        <v>OK</v>
      </c>
      <c r="K18" s="10" t="s">
        <v>165</v>
      </c>
      <c r="L18" s="9" t="s">
        <v>166</v>
      </c>
    </row>
    <row r="19" customFormat="false" ht="35.05" hidden="false" customHeight="false" outlineLevel="0" collapsed="false">
      <c r="A19" s="8" t="s">
        <v>167</v>
      </c>
      <c r="B19" s="8" t="s">
        <v>153</v>
      </c>
      <c r="C19" s="9" t="s">
        <v>168</v>
      </c>
      <c r="D19" s="10" t="s">
        <v>169</v>
      </c>
      <c r="E19" s="10" t="s">
        <v>170</v>
      </c>
      <c r="F19" s="8" t="n">
        <f aca="false">LEN(E19)</f>
        <v>41</v>
      </c>
      <c r="G19" s="8" t="str">
        <f aca="false">IF(F19&lt;=60,"OK","Largo")</f>
        <v>OK</v>
      </c>
      <c r="H19" s="10" t="s">
        <v>171</v>
      </c>
      <c r="I19" s="8" t="n">
        <f aca="false">LEN(H19)</f>
        <v>146</v>
      </c>
      <c r="J19" s="8" t="str">
        <f aca="false">IF(AND(I19&gt;=120,I19&lt;=155),"OK",IF(I19&lt;120,"Corta","Larga"))</f>
        <v>OK</v>
      </c>
      <c r="K19" s="10" t="s">
        <v>172</v>
      </c>
      <c r="L19" s="9" t="s">
        <v>173</v>
      </c>
    </row>
    <row r="20" customFormat="false" ht="35.05" hidden="false" customHeight="false" outlineLevel="0" collapsed="false">
      <c r="A20" s="8" t="s">
        <v>174</v>
      </c>
      <c r="B20" s="8" t="s">
        <v>153</v>
      </c>
      <c r="C20" s="9" t="s">
        <v>175</v>
      </c>
      <c r="D20" s="10" t="s">
        <v>176</v>
      </c>
      <c r="E20" s="10" t="s">
        <v>177</v>
      </c>
      <c r="F20" s="8" t="n">
        <f aca="false">LEN(E20)</f>
        <v>44</v>
      </c>
      <c r="G20" s="8" t="str">
        <f aca="false">IF(F20&lt;=60,"OK","Largo")</f>
        <v>OK</v>
      </c>
      <c r="H20" s="10" t="s">
        <v>178</v>
      </c>
      <c r="I20" s="8" t="n">
        <f aca="false">LEN(H20)</f>
        <v>149</v>
      </c>
      <c r="J20" s="8" t="str">
        <f aca="false">IF(AND(I20&gt;=120,I20&lt;=155),"OK",IF(I20&lt;120,"Corta","Larga"))</f>
        <v>OK</v>
      </c>
      <c r="K20" s="10" t="s">
        <v>179</v>
      </c>
      <c r="L20" s="9" t="s">
        <v>66</v>
      </c>
    </row>
    <row r="21" customFormat="false" ht="35.05" hidden="false" customHeight="false" outlineLevel="0" collapsed="false">
      <c r="A21" s="8" t="s">
        <v>180</v>
      </c>
      <c r="B21" s="8" t="s">
        <v>181</v>
      </c>
      <c r="C21" s="9" t="s">
        <v>182</v>
      </c>
      <c r="D21" s="10" t="s">
        <v>183</v>
      </c>
      <c r="E21" s="10" t="s">
        <v>184</v>
      </c>
      <c r="F21" s="8" t="n">
        <f aca="false">LEN(E21)</f>
        <v>46</v>
      </c>
      <c r="G21" s="8" t="str">
        <f aca="false">IF(F21&lt;=60,"OK","Largo")</f>
        <v>OK</v>
      </c>
      <c r="H21" s="10" t="s">
        <v>185</v>
      </c>
      <c r="I21" s="8" t="n">
        <f aca="false">LEN(H21)</f>
        <v>151</v>
      </c>
      <c r="J21" s="8" t="str">
        <f aca="false">IF(AND(I21&gt;=120,I21&lt;=155),"OK",IF(I21&lt;120,"Corta","Larga"))</f>
        <v>OK</v>
      </c>
      <c r="K21" s="10" t="s">
        <v>186</v>
      </c>
      <c r="L21" s="9" t="s">
        <v>187</v>
      </c>
    </row>
    <row r="22" customFormat="false" ht="35.05" hidden="false" customHeight="false" outlineLevel="0" collapsed="false">
      <c r="A22" s="8" t="s">
        <v>188</v>
      </c>
      <c r="B22" s="8" t="s">
        <v>181</v>
      </c>
      <c r="C22" s="9" t="s">
        <v>189</v>
      </c>
      <c r="D22" s="10" t="s">
        <v>190</v>
      </c>
      <c r="E22" s="10" t="s">
        <v>191</v>
      </c>
      <c r="F22" s="8" t="n">
        <f aca="false">LEN(E22)</f>
        <v>52</v>
      </c>
      <c r="G22" s="8" t="str">
        <f aca="false">IF(F22&lt;=60,"OK","Largo")</f>
        <v>OK</v>
      </c>
      <c r="H22" s="10" t="s">
        <v>192</v>
      </c>
      <c r="I22" s="8" t="n">
        <f aca="false">LEN(H22)</f>
        <v>148</v>
      </c>
      <c r="J22" s="8" t="str">
        <f aca="false">IF(AND(I22&gt;=120,I22&lt;=155),"OK",IF(I22&lt;120,"Corta","Larga"))</f>
        <v>OK</v>
      </c>
      <c r="K22" s="10" t="s">
        <v>193</v>
      </c>
      <c r="L22" s="9" t="s">
        <v>66</v>
      </c>
    </row>
    <row r="23" customFormat="false" ht="35.05" hidden="false" customHeight="false" outlineLevel="0" collapsed="false">
      <c r="A23" s="8" t="s">
        <v>194</v>
      </c>
      <c r="B23" s="8" t="s">
        <v>181</v>
      </c>
      <c r="C23" s="9" t="s">
        <v>195</v>
      </c>
      <c r="D23" s="10" t="s">
        <v>196</v>
      </c>
      <c r="E23" s="10" t="s">
        <v>197</v>
      </c>
      <c r="F23" s="8" t="n">
        <f aca="false">LEN(E23)</f>
        <v>53</v>
      </c>
      <c r="G23" s="8" t="str">
        <f aca="false">IF(F23&lt;=60,"OK","Largo")</f>
        <v>OK</v>
      </c>
      <c r="H23" s="10" t="s">
        <v>198</v>
      </c>
      <c r="I23" s="8" t="n">
        <f aca="false">LEN(H23)</f>
        <v>149</v>
      </c>
      <c r="J23" s="8" t="str">
        <f aca="false">IF(AND(I23&gt;=120,I23&lt;=155),"OK",IF(I23&lt;120,"Corta","Larga"))</f>
        <v>OK</v>
      </c>
      <c r="K23" s="10" t="s">
        <v>199</v>
      </c>
      <c r="L23" s="9" t="s">
        <v>66</v>
      </c>
    </row>
    <row r="24" customFormat="false" ht="35.05" hidden="false" customHeight="false" outlineLevel="0" collapsed="false">
      <c r="A24" s="8" t="s">
        <v>200</v>
      </c>
      <c r="B24" s="8" t="s">
        <v>181</v>
      </c>
      <c r="C24" s="9" t="s">
        <v>201</v>
      </c>
      <c r="D24" s="10" t="s">
        <v>202</v>
      </c>
      <c r="E24" s="10" t="s">
        <v>203</v>
      </c>
      <c r="F24" s="8" t="n">
        <f aca="false">LEN(E24)</f>
        <v>53</v>
      </c>
      <c r="G24" s="8" t="str">
        <f aca="false">IF(F24&lt;=60,"OK","Largo")</f>
        <v>OK</v>
      </c>
      <c r="H24" s="10" t="s">
        <v>204</v>
      </c>
      <c r="I24" s="8" t="n">
        <f aca="false">LEN(H24)</f>
        <v>149</v>
      </c>
      <c r="J24" s="8" t="str">
        <f aca="false">IF(AND(I24&gt;=120,I24&lt;=155),"OK",IF(I24&lt;120,"Corta","Larga"))</f>
        <v>OK</v>
      </c>
      <c r="K24" s="10" t="s">
        <v>205</v>
      </c>
      <c r="L24" s="9" t="s">
        <v>66</v>
      </c>
    </row>
    <row r="25" customFormat="false" ht="35.05" hidden="false" customHeight="false" outlineLevel="0" collapsed="false">
      <c r="A25" s="8" t="s">
        <v>206</v>
      </c>
      <c r="B25" s="8" t="s">
        <v>181</v>
      </c>
      <c r="C25" s="9" t="s">
        <v>207</v>
      </c>
      <c r="D25" s="10" t="s">
        <v>208</v>
      </c>
      <c r="E25" s="10" t="s">
        <v>209</v>
      </c>
      <c r="F25" s="8" t="n">
        <f aca="false">LEN(E25)</f>
        <v>52</v>
      </c>
      <c r="G25" s="8" t="str">
        <f aca="false">IF(F25&lt;=60,"OK","Largo")</f>
        <v>OK</v>
      </c>
      <c r="H25" s="10" t="s">
        <v>210</v>
      </c>
      <c r="I25" s="8" t="n">
        <f aca="false">LEN(H25)</f>
        <v>148</v>
      </c>
      <c r="J25" s="8" t="str">
        <f aca="false">IF(AND(I25&gt;=120,I25&lt;=155),"OK",IF(I25&lt;120,"Corta","Larga"))</f>
        <v>OK</v>
      </c>
      <c r="K25" s="10" t="s">
        <v>211</v>
      </c>
      <c r="L25" s="9" t="s">
        <v>66</v>
      </c>
    </row>
    <row r="26" customFormat="false" ht="35.05" hidden="false" customHeight="false" outlineLevel="0" collapsed="false">
      <c r="A26" s="8" t="s">
        <v>212</v>
      </c>
      <c r="B26" s="8" t="s">
        <v>181</v>
      </c>
      <c r="C26" s="9" t="s">
        <v>213</v>
      </c>
      <c r="D26" s="10" t="s">
        <v>214</v>
      </c>
      <c r="E26" s="10" t="s">
        <v>215</v>
      </c>
      <c r="F26" s="8" t="n">
        <f aca="false">LEN(E26)</f>
        <v>44</v>
      </c>
      <c r="G26" s="8" t="str">
        <f aca="false">IF(F26&lt;=60,"OK","Largo")</f>
        <v>OK</v>
      </c>
      <c r="H26" s="10" t="s">
        <v>216</v>
      </c>
      <c r="I26" s="8" t="n">
        <f aca="false">LEN(H26)</f>
        <v>149</v>
      </c>
      <c r="J26" s="8" t="str">
        <f aca="false">IF(AND(I26&gt;=120,I26&lt;=155),"OK",IF(I26&lt;120,"Corta","Larga"))</f>
        <v>OK</v>
      </c>
      <c r="K26" s="10" t="s">
        <v>217</v>
      </c>
      <c r="L26" s="9" t="s">
        <v>66</v>
      </c>
    </row>
    <row r="27" customFormat="false" ht="35.05" hidden="false" customHeight="false" outlineLevel="0" collapsed="false">
      <c r="A27" s="8" t="s">
        <v>218</v>
      </c>
      <c r="B27" s="8" t="s">
        <v>181</v>
      </c>
      <c r="C27" s="9" t="s">
        <v>219</v>
      </c>
      <c r="D27" s="10" t="s">
        <v>220</v>
      </c>
      <c r="E27" s="10" t="s">
        <v>221</v>
      </c>
      <c r="F27" s="8" t="n">
        <f aca="false">LEN(E27)</f>
        <v>56</v>
      </c>
      <c r="G27" s="8" t="str">
        <f aca="false">IF(F27&lt;=60,"OK","Largo")</f>
        <v>OK</v>
      </c>
      <c r="H27" s="10" t="s">
        <v>222</v>
      </c>
      <c r="I27" s="8" t="n">
        <f aca="false">LEN(H27)</f>
        <v>143</v>
      </c>
      <c r="J27" s="8" t="str">
        <f aca="false">IF(AND(I27&gt;=120,I27&lt;=155),"OK",IF(I27&lt;120,"Corta","Larga"))</f>
        <v>OK</v>
      </c>
      <c r="K27" s="10" t="s">
        <v>223</v>
      </c>
      <c r="L27" s="9" t="s">
        <v>66</v>
      </c>
    </row>
    <row r="28" customFormat="false" ht="23.85" hidden="false" customHeight="false" outlineLevel="0" collapsed="false">
      <c r="A28" s="8" t="s">
        <v>224</v>
      </c>
      <c r="B28" s="8" t="s">
        <v>181</v>
      </c>
      <c r="C28" s="9" t="s">
        <v>225</v>
      </c>
      <c r="D28" s="10" t="s">
        <v>226</v>
      </c>
      <c r="E28" s="10" t="s">
        <v>227</v>
      </c>
      <c r="F28" s="8" t="n">
        <f aca="false">LEN(E28)</f>
        <v>51</v>
      </c>
      <c r="G28" s="8" t="str">
        <f aca="false">IF(F28&lt;=60,"OK","Largo")</f>
        <v>OK</v>
      </c>
      <c r="H28" s="10" t="s">
        <v>228</v>
      </c>
      <c r="I28" s="8" t="n">
        <f aca="false">LEN(H28)</f>
        <v>138</v>
      </c>
      <c r="J28" s="8" t="str">
        <f aca="false">IF(AND(I28&gt;=120,I28&lt;=155),"OK",IF(I28&lt;120,"Corta","Larga"))</f>
        <v>OK</v>
      </c>
      <c r="K28" s="10" t="s">
        <v>229</v>
      </c>
      <c r="L28" s="9" t="s">
        <v>66</v>
      </c>
    </row>
    <row r="29" customFormat="false" ht="35.05" hidden="false" customHeight="false" outlineLevel="0" collapsed="false">
      <c r="A29" s="8" t="s">
        <v>230</v>
      </c>
      <c r="B29" s="8" t="s">
        <v>231</v>
      </c>
      <c r="C29" s="9" t="s">
        <v>232</v>
      </c>
      <c r="D29" s="10" t="s">
        <v>233</v>
      </c>
      <c r="E29" s="10" t="s">
        <v>234</v>
      </c>
      <c r="F29" s="8" t="n">
        <f aca="false">LEN(E29)</f>
        <v>47</v>
      </c>
      <c r="G29" s="8" t="str">
        <f aca="false">IF(F29&lt;=60,"OK","Largo")</f>
        <v>OK</v>
      </c>
      <c r="H29" s="10" t="s">
        <v>235</v>
      </c>
      <c r="I29" s="8" t="n">
        <f aca="false">LEN(H29)</f>
        <v>152</v>
      </c>
      <c r="J29" s="8" t="str">
        <f aca="false">IF(AND(I29&gt;=120,I29&lt;=155),"OK",IF(I29&lt;120,"Corta","Larga"))</f>
        <v>OK</v>
      </c>
      <c r="K29" s="10" t="s">
        <v>236</v>
      </c>
      <c r="L29" s="9" t="s">
        <v>166</v>
      </c>
    </row>
    <row r="30" customFormat="false" ht="35.05" hidden="false" customHeight="false" outlineLevel="0" collapsed="false">
      <c r="A30" s="8" t="s">
        <v>237</v>
      </c>
      <c r="B30" s="8" t="s">
        <v>231</v>
      </c>
      <c r="C30" s="9" t="s">
        <v>238</v>
      </c>
      <c r="D30" s="10" t="s">
        <v>239</v>
      </c>
      <c r="E30" s="10" t="s">
        <v>240</v>
      </c>
      <c r="F30" s="8" t="n">
        <f aca="false">LEN(E30)</f>
        <v>41</v>
      </c>
      <c r="G30" s="8" t="str">
        <f aca="false">IF(F30&lt;=60,"OK","Largo")</f>
        <v>OK</v>
      </c>
      <c r="H30" s="10" t="s">
        <v>241</v>
      </c>
      <c r="I30" s="8" t="n">
        <f aca="false">LEN(H30)</f>
        <v>146</v>
      </c>
      <c r="J30" s="8" t="str">
        <f aca="false">IF(AND(I30&gt;=120,I30&lt;=155),"OK",IF(I30&lt;120,"Corta","Larga"))</f>
        <v>OK</v>
      </c>
      <c r="K30" s="10" t="s">
        <v>242</v>
      </c>
      <c r="L30" s="9" t="s">
        <v>166</v>
      </c>
    </row>
    <row r="31" customFormat="false" ht="23.85" hidden="false" customHeight="false" outlineLevel="0" collapsed="false">
      <c r="A31" s="8" t="s">
        <v>243</v>
      </c>
      <c r="B31" s="8" t="s">
        <v>231</v>
      </c>
      <c r="C31" s="9" t="s">
        <v>244</v>
      </c>
      <c r="D31" s="10" t="s">
        <v>245</v>
      </c>
      <c r="E31" s="10" t="s">
        <v>246</v>
      </c>
      <c r="F31" s="8" t="n">
        <f aca="false">LEN(E31)</f>
        <v>51</v>
      </c>
      <c r="G31" s="8" t="str">
        <f aca="false">IF(F31&lt;=60,"OK","Largo")</f>
        <v>OK</v>
      </c>
      <c r="H31" s="10" t="s">
        <v>247</v>
      </c>
      <c r="I31" s="8" t="n">
        <f aca="false">LEN(H31)</f>
        <v>138</v>
      </c>
      <c r="J31" s="8" t="str">
        <f aca="false">IF(AND(I31&gt;=120,I31&lt;=155),"OK",IF(I31&lt;120,"Corta","Larga"))</f>
        <v>OK</v>
      </c>
      <c r="K31" s="10" t="s">
        <v>248</v>
      </c>
      <c r="L31" s="9" t="s">
        <v>166</v>
      </c>
    </row>
    <row r="32" customFormat="false" ht="35.05" hidden="false" customHeight="false" outlineLevel="0" collapsed="false">
      <c r="A32" s="8" t="s">
        <v>249</v>
      </c>
      <c r="B32" s="8" t="s">
        <v>231</v>
      </c>
      <c r="C32" s="9" t="s">
        <v>250</v>
      </c>
      <c r="D32" s="10" t="s">
        <v>251</v>
      </c>
      <c r="E32" s="10" t="s">
        <v>252</v>
      </c>
      <c r="F32" s="8" t="n">
        <f aca="false">LEN(E32)</f>
        <v>49</v>
      </c>
      <c r="G32" s="8" t="str">
        <f aca="false">IF(F32&lt;=60,"OK","Largo")</f>
        <v>OK</v>
      </c>
      <c r="H32" s="10" t="s">
        <v>253</v>
      </c>
      <c r="I32" s="8" t="n">
        <f aca="false">LEN(H32)</f>
        <v>154</v>
      </c>
      <c r="J32" s="8" t="str">
        <f aca="false">IF(AND(I32&gt;=120,I32&lt;=155),"OK",IF(I32&lt;120,"Corta","Larga"))</f>
        <v>OK</v>
      </c>
      <c r="K32" s="10" t="s">
        <v>254</v>
      </c>
      <c r="L32" s="9" t="s">
        <v>255</v>
      </c>
    </row>
    <row r="33" customFormat="false" ht="35.05" hidden="false" customHeight="false" outlineLevel="0" collapsed="false">
      <c r="A33" s="8" t="s">
        <v>256</v>
      </c>
      <c r="B33" s="8" t="s">
        <v>231</v>
      </c>
      <c r="C33" s="9" t="s">
        <v>257</v>
      </c>
      <c r="D33" s="10" t="s">
        <v>258</v>
      </c>
      <c r="E33" s="10" t="s">
        <v>259</v>
      </c>
      <c r="F33" s="8" t="n">
        <f aca="false">LEN(E33)</f>
        <v>53</v>
      </c>
      <c r="G33" s="8" t="str">
        <f aca="false">IF(F33&lt;=60,"OK","Largo")</f>
        <v>OK</v>
      </c>
      <c r="H33" s="10" t="s">
        <v>260</v>
      </c>
      <c r="I33" s="8" t="n">
        <f aca="false">LEN(H33)</f>
        <v>140</v>
      </c>
      <c r="J33" s="8" t="str">
        <f aca="false">IF(AND(I33&gt;=120,I33&lt;=155),"OK",IF(I33&lt;120,"Corta","Larga"))</f>
        <v>OK</v>
      </c>
      <c r="K33" s="10" t="s">
        <v>261</v>
      </c>
      <c r="L33" s="9" t="s">
        <v>166</v>
      </c>
    </row>
    <row r="34" customFormat="false" ht="23.85" hidden="false" customHeight="false" outlineLevel="0" collapsed="false">
      <c r="A34" s="8" t="s">
        <v>262</v>
      </c>
      <c r="B34" s="8" t="s">
        <v>263</v>
      </c>
      <c r="C34" s="9" t="s">
        <v>264</v>
      </c>
      <c r="D34" s="10" t="s">
        <v>265</v>
      </c>
      <c r="E34" s="10" t="s">
        <v>265</v>
      </c>
      <c r="F34" s="8" t="n">
        <f aca="false">LEN(E34)</f>
        <v>52</v>
      </c>
      <c r="G34" s="8" t="str">
        <f aca="false">IF(F34&lt;=60,"OK","Largo")</f>
        <v>OK</v>
      </c>
      <c r="H34" s="10" t="s">
        <v>266</v>
      </c>
      <c r="I34" s="8" t="n">
        <f aca="false">LEN(H34)</f>
        <v>129</v>
      </c>
      <c r="J34" s="8" t="str">
        <f aca="false">IF(AND(I34&gt;=120,I34&lt;=155),"OK",IF(I34&lt;120,"Corta","Larga"))</f>
        <v>OK</v>
      </c>
      <c r="K34" s="10" t="s">
        <v>267</v>
      </c>
      <c r="L34" s="9" t="s">
        <v>66</v>
      </c>
    </row>
    <row r="35" customFormat="false" ht="23.85" hidden="false" customHeight="false" outlineLevel="0" collapsed="false">
      <c r="A35" s="8" t="s">
        <v>268</v>
      </c>
      <c r="B35" s="8" t="s">
        <v>263</v>
      </c>
      <c r="C35" s="9" t="s">
        <v>269</v>
      </c>
      <c r="D35" s="10" t="s">
        <v>270</v>
      </c>
      <c r="E35" s="10" t="s">
        <v>270</v>
      </c>
      <c r="F35" s="8" t="n">
        <f aca="false">LEN(E35)</f>
        <v>52</v>
      </c>
      <c r="G35" s="8" t="str">
        <f aca="false">IF(F35&lt;=60,"OK","Largo")</f>
        <v>OK</v>
      </c>
      <c r="H35" s="10" t="s">
        <v>271</v>
      </c>
      <c r="I35" s="8" t="n">
        <f aca="false">LEN(H35)</f>
        <v>129</v>
      </c>
      <c r="J35" s="8" t="str">
        <f aca="false">IF(AND(I35&gt;=120,I35&lt;=155),"OK",IF(I35&lt;120,"Corta","Larga"))</f>
        <v>OK</v>
      </c>
      <c r="K35" s="10" t="s">
        <v>272</v>
      </c>
      <c r="L35" s="9" t="s">
        <v>66</v>
      </c>
    </row>
    <row r="36" customFormat="false" ht="35.05" hidden="false" customHeight="false" outlineLevel="0" collapsed="false">
      <c r="A36" s="8" t="s">
        <v>273</v>
      </c>
      <c r="B36" s="8" t="s">
        <v>263</v>
      </c>
      <c r="C36" s="9" t="s">
        <v>274</v>
      </c>
      <c r="D36" s="10" t="s">
        <v>275</v>
      </c>
      <c r="E36" s="10" t="s">
        <v>276</v>
      </c>
      <c r="F36" s="8" t="n">
        <f aca="false">LEN(E36)</f>
        <v>52</v>
      </c>
      <c r="G36" s="8" t="str">
        <f aca="false">IF(F36&lt;=60,"OK","Largo")</f>
        <v>OK</v>
      </c>
      <c r="H36" s="10" t="s">
        <v>277</v>
      </c>
      <c r="I36" s="8" t="n">
        <f aca="false">LEN(H36)</f>
        <v>148</v>
      </c>
      <c r="J36" s="8" t="str">
        <f aca="false">IF(AND(I36&gt;=120,I36&lt;=155),"OK",IF(I36&lt;120,"Corta","Larga"))</f>
        <v>OK</v>
      </c>
      <c r="K36" s="10" t="s">
        <v>278</v>
      </c>
      <c r="L36" s="9" t="s">
        <v>66</v>
      </c>
    </row>
    <row r="37" customFormat="false" ht="35.05" hidden="false" customHeight="false" outlineLevel="0" collapsed="false">
      <c r="A37" s="8" t="s">
        <v>279</v>
      </c>
      <c r="B37" s="8" t="s">
        <v>263</v>
      </c>
      <c r="C37" s="9" t="s">
        <v>280</v>
      </c>
      <c r="D37" s="10" t="s">
        <v>281</v>
      </c>
      <c r="E37" s="10" t="s">
        <v>282</v>
      </c>
      <c r="F37" s="8" t="n">
        <f aca="false">LEN(E37)</f>
        <v>41</v>
      </c>
      <c r="G37" s="8" t="str">
        <f aca="false">IF(F37&lt;=60,"OK","Largo")</f>
        <v>OK</v>
      </c>
      <c r="H37" s="10" t="s">
        <v>283</v>
      </c>
      <c r="I37" s="8" t="n">
        <f aca="false">LEN(H37)</f>
        <v>127</v>
      </c>
      <c r="J37" s="8" t="str">
        <f aca="false">IF(AND(I37&gt;=120,I37&lt;=155),"OK",IF(I37&lt;120,"Corta","Larga"))</f>
        <v>OK</v>
      </c>
      <c r="K37" s="10" t="s">
        <v>284</v>
      </c>
      <c r="L37" s="9" t="s">
        <v>107</v>
      </c>
    </row>
    <row r="38" customFormat="false" ht="35.05" hidden="false" customHeight="false" outlineLevel="0" collapsed="false">
      <c r="A38" s="8" t="s">
        <v>285</v>
      </c>
      <c r="B38" s="8" t="s">
        <v>286</v>
      </c>
      <c r="C38" s="9" t="s">
        <v>287</v>
      </c>
      <c r="D38" s="10" t="s">
        <v>288</v>
      </c>
      <c r="E38" s="10" t="s">
        <v>289</v>
      </c>
      <c r="F38" s="8" t="n">
        <f aca="false">LEN(E38)</f>
        <v>57</v>
      </c>
      <c r="G38" s="8" t="str">
        <f aca="false">IF(F38&lt;=60,"OK","Largo")</f>
        <v>OK</v>
      </c>
      <c r="H38" s="10" t="s">
        <v>290</v>
      </c>
      <c r="I38" s="8" t="n">
        <f aca="false">LEN(H38)</f>
        <v>144</v>
      </c>
      <c r="J38" s="8" t="str">
        <f aca="false">IF(AND(I38&gt;=120,I38&lt;=155),"OK",IF(I38&lt;120,"Corta","Larga"))</f>
        <v>OK</v>
      </c>
      <c r="K38" s="10" t="s">
        <v>291</v>
      </c>
      <c r="L38" s="9" t="s">
        <v>66</v>
      </c>
    </row>
    <row r="39" customFormat="false" ht="35.05" hidden="false" customHeight="false" outlineLevel="0" collapsed="false">
      <c r="A39" s="8" t="s">
        <v>292</v>
      </c>
      <c r="B39" s="8" t="s">
        <v>286</v>
      </c>
      <c r="C39" s="9" t="s">
        <v>293</v>
      </c>
      <c r="D39" s="10" t="s">
        <v>294</v>
      </c>
      <c r="E39" s="10" t="s">
        <v>295</v>
      </c>
      <c r="F39" s="8" t="n">
        <f aca="false">LEN(E39)</f>
        <v>44</v>
      </c>
      <c r="G39" s="8" t="str">
        <f aca="false">IF(F39&lt;=60,"OK","Largo")</f>
        <v>OK</v>
      </c>
      <c r="H39" s="10" t="s">
        <v>296</v>
      </c>
      <c r="I39" s="8" t="n">
        <f aca="false">LEN(H39)</f>
        <v>149</v>
      </c>
      <c r="J39" s="8" t="str">
        <f aca="false">IF(AND(I39&gt;=120,I39&lt;=155),"OK",IF(I39&lt;120,"Corta","Larga"))</f>
        <v>OK</v>
      </c>
      <c r="K39" s="10" t="s">
        <v>297</v>
      </c>
      <c r="L39" s="9" t="s">
        <v>66</v>
      </c>
    </row>
    <row r="40" customFormat="false" ht="35.05" hidden="false" customHeight="false" outlineLevel="0" collapsed="false">
      <c r="A40" s="8" t="s">
        <v>298</v>
      </c>
      <c r="B40" s="8" t="s">
        <v>286</v>
      </c>
      <c r="C40" s="9" t="s">
        <v>299</v>
      </c>
      <c r="D40" s="10" t="s">
        <v>300</v>
      </c>
      <c r="E40" s="10" t="s">
        <v>301</v>
      </c>
      <c r="F40" s="8" t="n">
        <f aca="false">LEN(E40)</f>
        <v>58</v>
      </c>
      <c r="G40" s="8" t="str">
        <f aca="false">IF(F40&lt;=60,"OK","Largo")</f>
        <v>OK</v>
      </c>
      <c r="H40" s="10" t="s">
        <v>302</v>
      </c>
      <c r="I40" s="8" t="n">
        <f aca="false">LEN(H40)</f>
        <v>145</v>
      </c>
      <c r="J40" s="8" t="str">
        <f aca="false">IF(AND(I40&gt;=120,I40&lt;=155),"OK",IF(I40&lt;120,"Corta","Larga"))</f>
        <v>OK</v>
      </c>
      <c r="K40" s="10" t="s">
        <v>303</v>
      </c>
      <c r="L40" s="9" t="s">
        <v>66</v>
      </c>
    </row>
    <row r="41" customFormat="false" ht="35.05" hidden="false" customHeight="false" outlineLevel="0" collapsed="false">
      <c r="A41" s="8" t="s">
        <v>304</v>
      </c>
      <c r="B41" s="8" t="s">
        <v>286</v>
      </c>
      <c r="C41" s="9" t="s">
        <v>305</v>
      </c>
      <c r="D41" s="10" t="s">
        <v>306</v>
      </c>
      <c r="E41" s="10" t="s">
        <v>307</v>
      </c>
      <c r="F41" s="8" t="n">
        <f aca="false">LEN(E41)</f>
        <v>58</v>
      </c>
      <c r="G41" s="8" t="str">
        <f aca="false">IF(F41&lt;=60,"OK","Largo")</f>
        <v>OK</v>
      </c>
      <c r="H41" s="10" t="s">
        <v>308</v>
      </c>
      <c r="I41" s="8" t="n">
        <f aca="false">LEN(H41)</f>
        <v>145</v>
      </c>
      <c r="J41" s="8" t="str">
        <f aca="false">IF(AND(I41&gt;=120,I41&lt;=155),"OK",IF(I41&lt;120,"Corta","Larga"))</f>
        <v>OK</v>
      </c>
      <c r="K41" s="10" t="s">
        <v>309</v>
      </c>
      <c r="L41" s="9" t="s">
        <v>66</v>
      </c>
    </row>
    <row r="42" customFormat="false" ht="35.05" hidden="false" customHeight="false" outlineLevel="0" collapsed="false">
      <c r="A42" s="8" t="s">
        <v>310</v>
      </c>
      <c r="B42" s="8" t="s">
        <v>286</v>
      </c>
      <c r="C42" s="9" t="s">
        <v>311</v>
      </c>
      <c r="D42" s="10" t="s">
        <v>312</v>
      </c>
      <c r="E42" s="10" t="s">
        <v>313</v>
      </c>
      <c r="F42" s="8" t="n">
        <f aca="false">LEN(E42)</f>
        <v>57</v>
      </c>
      <c r="G42" s="8" t="str">
        <f aca="false">IF(F42&lt;=60,"OK","Largo")</f>
        <v>OK</v>
      </c>
      <c r="H42" s="10" t="s">
        <v>314</v>
      </c>
      <c r="I42" s="8" t="n">
        <f aca="false">LEN(H42)</f>
        <v>144</v>
      </c>
      <c r="J42" s="8" t="str">
        <f aca="false">IF(AND(I42&gt;=120,I42&lt;=155),"OK",IF(I42&lt;120,"Corta","Larga"))</f>
        <v>OK</v>
      </c>
      <c r="K42" s="10" t="s">
        <v>315</v>
      </c>
      <c r="L42" s="9" t="s">
        <v>66</v>
      </c>
    </row>
    <row r="43" customFormat="false" ht="35.05" hidden="false" customHeight="false" outlineLevel="0" collapsed="false">
      <c r="A43" s="8" t="s">
        <v>316</v>
      </c>
      <c r="B43" s="8" t="s">
        <v>317</v>
      </c>
      <c r="C43" s="9" t="s">
        <v>318</v>
      </c>
      <c r="D43" s="10" t="s">
        <v>319</v>
      </c>
      <c r="E43" s="10" t="s">
        <v>320</v>
      </c>
      <c r="F43" s="8" t="n">
        <f aca="false">LEN(E43)</f>
        <v>55</v>
      </c>
      <c r="G43" s="8" t="str">
        <f aca="false">IF(F43&lt;=60,"OK","Largo")</f>
        <v>OK</v>
      </c>
      <c r="H43" s="10" t="s">
        <v>321</v>
      </c>
      <c r="I43" s="8" t="n">
        <f aca="false">LEN(H43)</f>
        <v>151</v>
      </c>
      <c r="J43" s="8" t="str">
        <f aca="false">IF(AND(I43&gt;=120,I43&lt;=155),"OK",IF(I43&lt;120,"Corta","Larga"))</f>
        <v>OK</v>
      </c>
      <c r="K43" s="10" t="s">
        <v>322</v>
      </c>
      <c r="L43" s="9" t="s">
        <v>66</v>
      </c>
    </row>
    <row r="44" customFormat="false" ht="35.05" hidden="false" customHeight="false" outlineLevel="0" collapsed="false">
      <c r="A44" s="8" t="s">
        <v>323</v>
      </c>
      <c r="B44" s="8" t="s">
        <v>317</v>
      </c>
      <c r="C44" s="9" t="s">
        <v>324</v>
      </c>
      <c r="D44" s="10" t="s">
        <v>325</v>
      </c>
      <c r="E44" s="10" t="s">
        <v>325</v>
      </c>
      <c r="F44" s="8" t="n">
        <f aca="false">LEN(E44)</f>
        <v>57</v>
      </c>
      <c r="G44" s="8" t="str">
        <f aca="false">IF(F44&lt;=60,"OK","Largo")</f>
        <v>OK</v>
      </c>
      <c r="H44" s="10" t="s">
        <v>326</v>
      </c>
      <c r="I44" s="8" t="n">
        <f aca="false">LEN(H44)</f>
        <v>134</v>
      </c>
      <c r="J44" s="8" t="str">
        <f aca="false">IF(AND(I44&gt;=120,I44&lt;=155),"OK",IF(I44&lt;120,"Corta","Larga"))</f>
        <v>OK</v>
      </c>
      <c r="K44" s="10" t="s">
        <v>327</v>
      </c>
      <c r="L44" s="9" t="s">
        <v>66</v>
      </c>
    </row>
    <row r="45" customFormat="false" ht="35.05" hidden="false" customHeight="false" outlineLevel="0" collapsed="false">
      <c r="A45" s="8" t="s">
        <v>328</v>
      </c>
      <c r="B45" s="8" t="s">
        <v>76</v>
      </c>
      <c r="C45" s="9" t="s">
        <v>329</v>
      </c>
      <c r="D45" s="10" t="s">
        <v>330</v>
      </c>
      <c r="E45" s="10" t="s">
        <v>331</v>
      </c>
      <c r="F45" s="8" t="n">
        <f aca="false">LEN(E45)</f>
        <v>52</v>
      </c>
      <c r="G45" s="8" t="str">
        <f aca="false">IF(F45&lt;=60,"OK","Largo")</f>
        <v>OK</v>
      </c>
      <c r="H45" s="10" t="s">
        <v>332</v>
      </c>
      <c r="I45" s="8" t="n">
        <f aca="false">LEN(H45)</f>
        <v>139</v>
      </c>
      <c r="J45" s="8" t="str">
        <f aca="false">IF(AND(I45&gt;=120,I45&lt;=155),"OK",IF(I45&lt;120,"Corta","Larga"))</f>
        <v>OK</v>
      </c>
      <c r="K45" s="10" t="s">
        <v>333</v>
      </c>
      <c r="L45" s="9" t="s">
        <v>66</v>
      </c>
    </row>
    <row r="46" customFormat="false" ht="35.05" hidden="false" customHeight="false" outlineLevel="0" collapsed="false">
      <c r="A46" s="8" t="s">
        <v>334</v>
      </c>
      <c r="B46" s="8" t="s">
        <v>76</v>
      </c>
      <c r="C46" s="9" t="s">
        <v>335</v>
      </c>
      <c r="D46" s="10" t="s">
        <v>336</v>
      </c>
      <c r="E46" s="10" t="s">
        <v>337</v>
      </c>
      <c r="F46" s="8" t="n">
        <f aca="false">LEN(E46)</f>
        <v>53</v>
      </c>
      <c r="G46" s="8" t="str">
        <f aca="false">IF(F46&lt;=60,"OK","Largo")</f>
        <v>OK</v>
      </c>
      <c r="H46" s="10" t="s">
        <v>338</v>
      </c>
      <c r="I46" s="8" t="n">
        <f aca="false">LEN(H46)</f>
        <v>140</v>
      </c>
      <c r="J46" s="8" t="str">
        <f aca="false">IF(AND(I46&gt;=120,I46&lt;=155),"OK",IF(I46&lt;120,"Corta","Larga"))</f>
        <v>OK</v>
      </c>
      <c r="K46" s="10" t="s">
        <v>339</v>
      </c>
      <c r="L46" s="9" t="s">
        <v>66</v>
      </c>
    </row>
    <row r="47" customFormat="false" ht="35.05" hidden="false" customHeight="false" outlineLevel="0" collapsed="false">
      <c r="A47" s="8" t="s">
        <v>340</v>
      </c>
      <c r="B47" s="8" t="s">
        <v>76</v>
      </c>
      <c r="C47" s="9" t="s">
        <v>341</v>
      </c>
      <c r="D47" s="10" t="s">
        <v>342</v>
      </c>
      <c r="E47" s="10" t="s">
        <v>343</v>
      </c>
      <c r="F47" s="8" t="n">
        <f aca="false">LEN(E47)</f>
        <v>58</v>
      </c>
      <c r="G47" s="8" t="str">
        <f aca="false">IF(F47&lt;=60,"OK","Largo")</f>
        <v>OK</v>
      </c>
      <c r="H47" s="10" t="s">
        <v>344</v>
      </c>
      <c r="I47" s="8" t="n">
        <f aca="false">LEN(H47)</f>
        <v>145</v>
      </c>
      <c r="J47" s="8" t="str">
        <f aca="false">IF(AND(I47&gt;=120,I47&lt;=155),"OK",IF(I47&lt;120,"Corta","Larga"))</f>
        <v>OK</v>
      </c>
      <c r="K47" s="10" t="s">
        <v>345</v>
      </c>
      <c r="L47" s="9" t="s">
        <v>66</v>
      </c>
    </row>
    <row r="48" customFormat="false" ht="35.05" hidden="false" customHeight="false" outlineLevel="0" collapsed="false">
      <c r="A48" s="8" t="s">
        <v>346</v>
      </c>
      <c r="B48" s="8" t="s">
        <v>347</v>
      </c>
      <c r="C48" s="9" t="s">
        <v>348</v>
      </c>
      <c r="D48" s="10" t="s">
        <v>349</v>
      </c>
      <c r="E48" s="10" t="s">
        <v>350</v>
      </c>
      <c r="F48" s="8" t="n">
        <f aca="false">LEN(E48)</f>
        <v>55</v>
      </c>
      <c r="G48" s="8" t="str">
        <f aca="false">IF(F48&lt;=60,"OK","Largo")</f>
        <v>OK</v>
      </c>
      <c r="H48" s="10" t="s">
        <v>351</v>
      </c>
      <c r="I48" s="8" t="n">
        <f aca="false">LEN(H48)</f>
        <v>142</v>
      </c>
      <c r="J48" s="8" t="str">
        <f aca="false">IF(AND(I48&gt;=120,I48&lt;=155),"OK",IF(I48&lt;120,"Corta","Larga"))</f>
        <v>OK</v>
      </c>
      <c r="K48" s="10" t="s">
        <v>352</v>
      </c>
      <c r="L48" s="9" t="s">
        <v>66</v>
      </c>
    </row>
    <row r="49" customFormat="false" ht="35.05" hidden="false" customHeight="false" outlineLevel="0" collapsed="false">
      <c r="A49" s="8" t="s">
        <v>353</v>
      </c>
      <c r="B49" s="8" t="s">
        <v>347</v>
      </c>
      <c r="C49" s="9" t="s">
        <v>354</v>
      </c>
      <c r="D49" s="10" t="s">
        <v>355</v>
      </c>
      <c r="E49" s="10" t="s">
        <v>356</v>
      </c>
      <c r="F49" s="8" t="n">
        <f aca="false">LEN(E49)</f>
        <v>49</v>
      </c>
      <c r="G49" s="8" t="str">
        <f aca="false">IF(F49&lt;=60,"OK","Largo")</f>
        <v>OK</v>
      </c>
      <c r="H49" s="10" t="s">
        <v>357</v>
      </c>
      <c r="I49" s="8" t="n">
        <f aca="false">LEN(H49)</f>
        <v>154</v>
      </c>
      <c r="J49" s="8" t="str">
        <f aca="false">IF(AND(I49&gt;=120,I49&lt;=155),"OK",IF(I49&lt;120,"Corta","Larga"))</f>
        <v>OK</v>
      </c>
      <c r="K49" s="10" t="s">
        <v>358</v>
      </c>
      <c r="L49" s="9" t="s">
        <v>66</v>
      </c>
    </row>
    <row r="50" customFormat="false" ht="35.05" hidden="false" customHeight="false" outlineLevel="0" collapsed="false">
      <c r="A50" s="8" t="s">
        <v>359</v>
      </c>
      <c r="B50" s="8" t="s">
        <v>347</v>
      </c>
      <c r="C50" s="9" t="s">
        <v>360</v>
      </c>
      <c r="D50" s="10" t="s">
        <v>361</v>
      </c>
      <c r="E50" s="10" t="s">
        <v>362</v>
      </c>
      <c r="F50" s="8" t="n">
        <f aca="false">LEN(E50)</f>
        <v>47</v>
      </c>
      <c r="G50" s="8" t="str">
        <f aca="false">IF(F50&lt;=60,"OK","Largo")</f>
        <v>OK</v>
      </c>
      <c r="H50" s="10" t="s">
        <v>363</v>
      </c>
      <c r="I50" s="8" t="n">
        <f aca="false">LEN(H50)</f>
        <v>152</v>
      </c>
      <c r="J50" s="8" t="str">
        <f aca="false">IF(AND(I50&gt;=120,I50&lt;=155),"OK",IF(I50&lt;120,"Corta","Larga"))</f>
        <v>OK</v>
      </c>
      <c r="K50" s="10" t="s">
        <v>364</v>
      </c>
      <c r="L50" s="9" t="s">
        <v>66</v>
      </c>
    </row>
    <row r="51" customFormat="false" ht="23.85" hidden="false" customHeight="false" outlineLevel="0" collapsed="false">
      <c r="A51" s="8" t="s">
        <v>365</v>
      </c>
      <c r="B51" s="8" t="s">
        <v>366</v>
      </c>
      <c r="C51" s="9" t="s">
        <v>367</v>
      </c>
      <c r="D51" s="10" t="s">
        <v>368</v>
      </c>
      <c r="E51" s="10" t="s">
        <v>368</v>
      </c>
      <c r="F51" s="8" t="n">
        <f aca="false">LEN(E51)</f>
        <v>50</v>
      </c>
      <c r="G51" s="8" t="str">
        <f aca="false">IF(F51&lt;=60,"OK","Largo")</f>
        <v>OK</v>
      </c>
      <c r="H51" s="10" t="s">
        <v>369</v>
      </c>
      <c r="I51" s="8" t="n">
        <f aca="false">LEN(H51)</f>
        <v>127</v>
      </c>
      <c r="J51" s="8" t="str">
        <f aca="false">IF(AND(I51&gt;=120,I51&lt;=155),"OK",IF(I51&lt;120,"Corta","Larga"))</f>
        <v>OK</v>
      </c>
      <c r="K51" s="10" t="s">
        <v>370</v>
      </c>
      <c r="L51" s="9" t="s">
        <v>66</v>
      </c>
    </row>
    <row r="52" customFormat="false" ht="35.05" hidden="false" customHeight="false" outlineLevel="0" collapsed="false">
      <c r="A52" s="8" t="s">
        <v>371</v>
      </c>
      <c r="B52" s="8" t="s">
        <v>366</v>
      </c>
      <c r="C52" s="9" t="s">
        <v>372</v>
      </c>
      <c r="D52" s="10" t="s">
        <v>373</v>
      </c>
      <c r="E52" s="10" t="s">
        <v>374</v>
      </c>
      <c r="F52" s="8" t="n">
        <f aca="false">LEN(E52)</f>
        <v>59</v>
      </c>
      <c r="G52" s="8" t="str">
        <f aca="false">IF(F52&lt;=60,"OK","Largo")</f>
        <v>OK</v>
      </c>
      <c r="H52" s="10" t="s">
        <v>375</v>
      </c>
      <c r="I52" s="8" t="n">
        <f aca="false">LEN(H52)</f>
        <v>146</v>
      </c>
      <c r="J52" s="8" t="str">
        <f aca="false">IF(AND(I52&gt;=120,I52&lt;=155),"OK",IF(I52&lt;120,"Corta","Larga"))</f>
        <v>OK</v>
      </c>
      <c r="K52" s="10" t="s">
        <v>376</v>
      </c>
      <c r="L52" s="9" t="s">
        <v>66</v>
      </c>
    </row>
    <row r="53" customFormat="false" ht="23.85" hidden="false" customHeight="false" outlineLevel="0" collapsed="false">
      <c r="A53" s="8" t="s">
        <v>377</v>
      </c>
      <c r="B53" s="8" t="s">
        <v>366</v>
      </c>
      <c r="C53" s="9" t="s">
        <v>378</v>
      </c>
      <c r="D53" s="10" t="s">
        <v>379</v>
      </c>
      <c r="E53" s="10" t="s">
        <v>379</v>
      </c>
      <c r="F53" s="8" t="n">
        <f aca="false">LEN(E53)</f>
        <v>58</v>
      </c>
      <c r="G53" s="8" t="str">
        <f aca="false">IF(F53&lt;=60,"OK","Largo")</f>
        <v>OK</v>
      </c>
      <c r="H53" s="10" t="s">
        <v>380</v>
      </c>
      <c r="I53" s="8" t="n">
        <f aca="false">LEN(H53)</f>
        <v>135</v>
      </c>
      <c r="J53" s="8" t="str">
        <f aca="false">IF(AND(I53&gt;=120,I53&lt;=155),"OK",IF(I53&lt;120,"Corta","Larga"))</f>
        <v>OK</v>
      </c>
      <c r="K53" s="10" t="s">
        <v>381</v>
      </c>
      <c r="L53" s="9" t="s">
        <v>66</v>
      </c>
    </row>
    <row r="54" customFormat="false" ht="35.05" hidden="false" customHeight="false" outlineLevel="0" collapsed="false">
      <c r="A54" s="8" t="s">
        <v>382</v>
      </c>
      <c r="B54" s="8" t="s">
        <v>366</v>
      </c>
      <c r="C54" s="9" t="s">
        <v>383</v>
      </c>
      <c r="D54" s="10" t="s">
        <v>384</v>
      </c>
      <c r="E54" s="10" t="s">
        <v>385</v>
      </c>
      <c r="F54" s="8" t="n">
        <f aca="false">LEN(E54)</f>
        <v>60</v>
      </c>
      <c r="G54" s="8" t="str">
        <f aca="false">IF(F54&lt;=60,"OK","Largo")</f>
        <v>OK</v>
      </c>
      <c r="H54" s="10" t="s">
        <v>386</v>
      </c>
      <c r="I54" s="8" t="n">
        <f aca="false">LEN(H54)</f>
        <v>147</v>
      </c>
      <c r="J54" s="8" t="str">
        <f aca="false">IF(AND(I54&gt;=120,I54&lt;=155),"OK",IF(I54&lt;120,"Corta","Larga"))</f>
        <v>OK</v>
      </c>
      <c r="K54" s="10" t="s">
        <v>387</v>
      </c>
      <c r="L54" s="9" t="s">
        <v>66</v>
      </c>
    </row>
    <row r="55" customFormat="false" ht="35.05" hidden="false" customHeight="false" outlineLevel="0" collapsed="false">
      <c r="A55" s="8" t="s">
        <v>388</v>
      </c>
      <c r="B55" s="8" t="s">
        <v>389</v>
      </c>
      <c r="C55" s="9" t="s">
        <v>390</v>
      </c>
      <c r="D55" s="10" t="s">
        <v>391</v>
      </c>
      <c r="E55" s="10" t="s">
        <v>392</v>
      </c>
      <c r="F55" s="8" t="n">
        <f aca="false">LEN(E55)</f>
        <v>54</v>
      </c>
      <c r="G55" s="8" t="str">
        <f aca="false">IF(F55&lt;=60,"OK","Largo")</f>
        <v>OK</v>
      </c>
      <c r="H55" s="10" t="s">
        <v>393</v>
      </c>
      <c r="I55" s="8" t="n">
        <f aca="false">LEN(H55)</f>
        <v>132</v>
      </c>
      <c r="J55" s="8" t="str">
        <f aca="false">IF(AND(I55&gt;=120,I55&lt;=155),"OK",IF(I55&lt;120,"Corta","Larga"))</f>
        <v>OK</v>
      </c>
      <c r="K55" s="10" t="s">
        <v>394</v>
      </c>
      <c r="L55" s="9" t="s">
        <v>107</v>
      </c>
    </row>
    <row r="56" customFormat="false" ht="35.05" hidden="false" customHeight="false" outlineLevel="0" collapsed="false">
      <c r="A56" s="8" t="s">
        <v>395</v>
      </c>
      <c r="B56" s="8" t="s">
        <v>389</v>
      </c>
      <c r="C56" s="9" t="s">
        <v>396</v>
      </c>
      <c r="D56" s="10" t="s">
        <v>397</v>
      </c>
      <c r="E56" s="10" t="s">
        <v>398</v>
      </c>
      <c r="F56" s="8" t="n">
        <f aca="false">LEN(E56)</f>
        <v>51</v>
      </c>
      <c r="G56" s="8" t="str">
        <f aca="false">IF(F56&lt;=60,"OK","Largo")</f>
        <v>OK</v>
      </c>
      <c r="H56" s="10" t="s">
        <v>399</v>
      </c>
      <c r="I56" s="8" t="n">
        <f aca="false">LEN(H56)</f>
        <v>129</v>
      </c>
      <c r="J56" s="8" t="str">
        <f aca="false">IF(AND(I56&gt;=120,I56&lt;=155),"OK",IF(I56&lt;120,"Corta","Larga"))</f>
        <v>OK</v>
      </c>
      <c r="K56" s="10" t="s">
        <v>400</v>
      </c>
      <c r="L56" s="9" t="s">
        <v>107</v>
      </c>
    </row>
    <row r="57" customFormat="false" ht="35.05" hidden="false" customHeight="false" outlineLevel="0" collapsed="false">
      <c r="A57" s="8" t="s">
        <v>401</v>
      </c>
      <c r="B57" s="8" t="s">
        <v>389</v>
      </c>
      <c r="C57" s="9" t="s">
        <v>402</v>
      </c>
      <c r="D57" s="10" t="s">
        <v>403</v>
      </c>
      <c r="E57" s="10" t="s">
        <v>403</v>
      </c>
      <c r="F57" s="8" t="n">
        <f aca="false">LEN(E57)</f>
        <v>57</v>
      </c>
      <c r="G57" s="8" t="str">
        <f aca="false">IF(F57&lt;=60,"OK","Largo")</f>
        <v>OK</v>
      </c>
      <c r="H57" s="10" t="s">
        <v>404</v>
      </c>
      <c r="I57" s="8" t="n">
        <f aca="false">LEN(H57)</f>
        <v>134</v>
      </c>
      <c r="J57" s="8" t="str">
        <f aca="false">IF(AND(I57&gt;=120,I57&lt;=155),"OK",IF(I57&lt;120,"Corta","Larga"))</f>
        <v>OK</v>
      </c>
      <c r="K57" s="10" t="s">
        <v>405</v>
      </c>
      <c r="L57" s="9" t="s">
        <v>66</v>
      </c>
    </row>
    <row r="58" customFormat="false" ht="35.05" hidden="false" customHeight="false" outlineLevel="0" collapsed="false">
      <c r="A58" s="8" t="s">
        <v>406</v>
      </c>
      <c r="B58" s="8" t="s">
        <v>389</v>
      </c>
      <c r="C58" s="9" t="s">
        <v>407</v>
      </c>
      <c r="D58" s="10" t="s">
        <v>408</v>
      </c>
      <c r="E58" s="10" t="s">
        <v>409</v>
      </c>
      <c r="F58" s="8" t="n">
        <f aca="false">LEN(E58)</f>
        <v>45</v>
      </c>
      <c r="G58" s="8" t="str">
        <f aca="false">IF(F58&lt;=60,"OK","Largo")</f>
        <v>OK</v>
      </c>
      <c r="H58" s="10" t="s">
        <v>410</v>
      </c>
      <c r="I58" s="8" t="n">
        <f aca="false">LEN(H58)</f>
        <v>152</v>
      </c>
      <c r="J58" s="8" t="str">
        <f aca="false">IF(AND(I58&gt;=120,I58&lt;=155),"OK",IF(I58&lt;120,"Corta","Larga"))</f>
        <v>OK</v>
      </c>
      <c r="K58" s="10" t="s">
        <v>411</v>
      </c>
      <c r="L58" s="9" t="s">
        <v>107</v>
      </c>
    </row>
    <row r="59" customFormat="false" ht="35.05" hidden="false" customHeight="false" outlineLevel="0" collapsed="false">
      <c r="A59" s="8" t="s">
        <v>412</v>
      </c>
      <c r="B59" s="8" t="s">
        <v>413</v>
      </c>
      <c r="C59" s="9" t="s">
        <v>414</v>
      </c>
      <c r="D59" s="10" t="s">
        <v>415</v>
      </c>
      <c r="E59" s="10" t="s">
        <v>416</v>
      </c>
      <c r="F59" s="8" t="n">
        <f aca="false">LEN(E59)</f>
        <v>60</v>
      </c>
      <c r="G59" s="8" t="str">
        <f aca="false">IF(F59&lt;=60,"OK","Largo")</f>
        <v>OK</v>
      </c>
      <c r="H59" s="10" t="s">
        <v>417</v>
      </c>
      <c r="I59" s="8" t="n">
        <f aca="false">LEN(H59)</f>
        <v>147</v>
      </c>
      <c r="J59" s="8" t="str">
        <f aca="false">IF(AND(I59&gt;=120,I59&lt;=155),"OK",IF(I59&lt;120,"Corta","Larga"))</f>
        <v>OK</v>
      </c>
      <c r="K59" s="10" t="s">
        <v>418</v>
      </c>
      <c r="L59" s="9" t="s">
        <v>66</v>
      </c>
    </row>
    <row r="60" customFormat="false" ht="35.05" hidden="false" customHeight="false" outlineLevel="0" collapsed="false">
      <c r="A60" s="8" t="s">
        <v>419</v>
      </c>
      <c r="B60" s="8" t="s">
        <v>413</v>
      </c>
      <c r="C60" s="9" t="s">
        <v>420</v>
      </c>
      <c r="D60" s="10" t="s">
        <v>421</v>
      </c>
      <c r="E60" s="10" t="s">
        <v>422</v>
      </c>
      <c r="F60" s="8" t="n">
        <f aca="false">LEN(E60)</f>
        <v>52</v>
      </c>
      <c r="G60" s="8" t="str">
        <f aca="false">IF(F60&lt;=60,"OK","Largo")</f>
        <v>OK</v>
      </c>
      <c r="H60" s="10" t="s">
        <v>423</v>
      </c>
      <c r="I60" s="8" t="n">
        <f aca="false">LEN(H60)</f>
        <v>148</v>
      </c>
      <c r="J60" s="8" t="str">
        <f aca="false">IF(AND(I60&gt;=120,I60&lt;=155),"OK",IF(I60&lt;120,"Corta","Larga"))</f>
        <v>OK</v>
      </c>
      <c r="K60" s="10" t="s">
        <v>424</v>
      </c>
      <c r="L60" s="9" t="s">
        <v>66</v>
      </c>
    </row>
    <row r="61" customFormat="false" ht="35.05" hidden="false" customHeight="false" outlineLevel="0" collapsed="false">
      <c r="A61" s="8" t="s">
        <v>425</v>
      </c>
      <c r="B61" s="8" t="s">
        <v>413</v>
      </c>
      <c r="C61" s="9" t="s">
        <v>426</v>
      </c>
      <c r="D61" s="10" t="s">
        <v>427</v>
      </c>
      <c r="E61" s="10" t="s">
        <v>428</v>
      </c>
      <c r="F61" s="8" t="n">
        <f aca="false">LEN(E61)</f>
        <v>60</v>
      </c>
      <c r="G61" s="8" t="str">
        <f aca="false">IF(F61&lt;=60,"OK","Largo")</f>
        <v>OK</v>
      </c>
      <c r="H61" s="10" t="s">
        <v>429</v>
      </c>
      <c r="I61" s="8" t="n">
        <f aca="false">LEN(H61)</f>
        <v>147</v>
      </c>
      <c r="J61" s="8" t="str">
        <f aca="false">IF(AND(I61&gt;=120,I61&lt;=155),"OK",IF(I61&lt;120,"Corta","Larga"))</f>
        <v>OK</v>
      </c>
      <c r="K61" s="10" t="s">
        <v>430</v>
      </c>
      <c r="L61" s="9" t="s">
        <v>66</v>
      </c>
    </row>
    <row r="62" customFormat="false" ht="35.05" hidden="false" customHeight="false" outlineLevel="0" collapsed="false">
      <c r="A62" s="8" t="s">
        <v>431</v>
      </c>
      <c r="B62" s="8" t="s">
        <v>432</v>
      </c>
      <c r="C62" s="9" t="s">
        <v>433</v>
      </c>
      <c r="D62" s="10" t="s">
        <v>434</v>
      </c>
      <c r="E62" s="10" t="s">
        <v>435</v>
      </c>
      <c r="F62" s="8" t="n">
        <f aca="false">LEN(E62)</f>
        <v>56</v>
      </c>
      <c r="G62" s="8" t="str">
        <f aca="false">IF(F62&lt;=60,"OK","Largo")</f>
        <v>OK</v>
      </c>
      <c r="H62" s="10" t="s">
        <v>436</v>
      </c>
      <c r="I62" s="8" t="n">
        <f aca="false">LEN(H62)</f>
        <v>143</v>
      </c>
      <c r="J62" s="8" t="str">
        <f aca="false">IF(AND(I62&gt;=120,I62&lt;=155),"OK",IF(I62&lt;120,"Corta","Larga"))</f>
        <v>OK</v>
      </c>
      <c r="K62" s="10" t="s">
        <v>437</v>
      </c>
      <c r="L62" s="9" t="s">
        <v>66</v>
      </c>
    </row>
    <row r="63" customFormat="false" ht="35.05" hidden="false" customHeight="false" outlineLevel="0" collapsed="false">
      <c r="A63" s="8" t="s">
        <v>438</v>
      </c>
      <c r="B63" s="8" t="s">
        <v>432</v>
      </c>
      <c r="C63" s="9" t="s">
        <v>439</v>
      </c>
      <c r="D63" s="10" t="s">
        <v>440</v>
      </c>
      <c r="E63" s="10" t="s">
        <v>441</v>
      </c>
      <c r="F63" s="8" t="n">
        <f aca="false">LEN(E63)</f>
        <v>53</v>
      </c>
      <c r="G63" s="8" t="str">
        <f aca="false">IF(F63&lt;=60,"OK","Largo")</f>
        <v>OK</v>
      </c>
      <c r="H63" s="10" t="s">
        <v>442</v>
      </c>
      <c r="I63" s="8" t="n">
        <f aca="false">LEN(H63)</f>
        <v>140</v>
      </c>
      <c r="J63" s="8" t="str">
        <f aca="false">IF(AND(I63&gt;=120,I63&lt;=155),"OK",IF(I63&lt;120,"Corta","Larga"))</f>
        <v>OK</v>
      </c>
      <c r="K63" s="10" t="s">
        <v>443</v>
      </c>
      <c r="L63" s="9" t="s">
        <v>66</v>
      </c>
    </row>
    <row r="64" customFormat="false" ht="35.05" hidden="false" customHeight="false" outlineLevel="0" collapsed="false">
      <c r="A64" s="8" t="s">
        <v>444</v>
      </c>
      <c r="B64" s="8" t="s">
        <v>432</v>
      </c>
      <c r="C64" s="9" t="s">
        <v>445</v>
      </c>
      <c r="D64" s="10" t="s">
        <v>446</v>
      </c>
      <c r="E64" s="10" t="s">
        <v>447</v>
      </c>
      <c r="F64" s="8" t="n">
        <f aca="false">LEN(E64)</f>
        <v>42</v>
      </c>
      <c r="G64" s="8" t="str">
        <f aca="false">IF(F64&lt;=60,"OK","Largo")</f>
        <v>OK</v>
      </c>
      <c r="H64" s="10" t="s">
        <v>448</v>
      </c>
      <c r="I64" s="8" t="n">
        <f aca="false">LEN(H64)</f>
        <v>147</v>
      </c>
      <c r="J64" s="8" t="str">
        <f aca="false">IF(AND(I64&gt;=120,I64&lt;=155),"OK",IF(I64&lt;120,"Corta","Larga"))</f>
        <v>OK</v>
      </c>
      <c r="K64" s="10" t="s">
        <v>449</v>
      </c>
      <c r="L64" s="9" t="s">
        <v>66</v>
      </c>
    </row>
    <row r="65" customFormat="false" ht="35.05" hidden="false" customHeight="false" outlineLevel="0" collapsed="false">
      <c r="A65" s="8" t="s">
        <v>450</v>
      </c>
      <c r="B65" s="8" t="s">
        <v>432</v>
      </c>
      <c r="C65" s="9" t="s">
        <v>451</v>
      </c>
      <c r="D65" s="10" t="s">
        <v>452</v>
      </c>
      <c r="E65" s="10" t="s">
        <v>453</v>
      </c>
      <c r="F65" s="8" t="n">
        <f aca="false">LEN(E65)</f>
        <v>42</v>
      </c>
      <c r="G65" s="8" t="str">
        <f aca="false">IF(F65&lt;=60,"OK","Largo")</f>
        <v>OK</v>
      </c>
      <c r="H65" s="10" t="s">
        <v>454</v>
      </c>
      <c r="I65" s="8" t="n">
        <f aca="false">LEN(H65)</f>
        <v>147</v>
      </c>
      <c r="J65" s="8" t="str">
        <f aca="false">IF(AND(I65&gt;=120,I65&lt;=155),"OK",IF(I65&lt;120,"Corta","Larga"))</f>
        <v>OK</v>
      </c>
      <c r="K65" s="10" t="s">
        <v>455</v>
      </c>
      <c r="L65" s="9" t="s">
        <v>66</v>
      </c>
    </row>
    <row r="66" customFormat="false" ht="35.05" hidden="false" customHeight="false" outlineLevel="0" collapsed="false">
      <c r="A66" s="8" t="s">
        <v>456</v>
      </c>
      <c r="B66" s="8" t="s">
        <v>432</v>
      </c>
      <c r="C66" s="9" t="s">
        <v>457</v>
      </c>
      <c r="D66" s="10" t="s">
        <v>458</v>
      </c>
      <c r="E66" s="10" t="s">
        <v>459</v>
      </c>
      <c r="F66" s="8" t="n">
        <f aca="false">LEN(E66)</f>
        <v>43</v>
      </c>
      <c r="G66" s="8" t="str">
        <f aca="false">IF(F66&lt;=60,"OK","Largo")</f>
        <v>OK</v>
      </c>
      <c r="H66" s="10" t="s">
        <v>460</v>
      </c>
      <c r="I66" s="8" t="n">
        <f aca="false">LEN(H66)</f>
        <v>148</v>
      </c>
      <c r="J66" s="8" t="str">
        <f aca="false">IF(AND(I66&gt;=120,I66&lt;=155),"OK",IF(I66&lt;120,"Corta","Larga"))</f>
        <v>OK</v>
      </c>
      <c r="K66" s="10" t="s">
        <v>461</v>
      </c>
      <c r="L66" s="9" t="s">
        <v>66</v>
      </c>
    </row>
    <row r="67" customFormat="false" ht="35.05" hidden="false" customHeight="false" outlineLevel="0" collapsed="false">
      <c r="A67" s="8" t="s">
        <v>462</v>
      </c>
      <c r="B67" s="8" t="s">
        <v>463</v>
      </c>
      <c r="C67" s="9" t="s">
        <v>464</v>
      </c>
      <c r="D67" s="10" t="s">
        <v>465</v>
      </c>
      <c r="E67" s="10" t="s">
        <v>466</v>
      </c>
      <c r="F67" s="8" t="n">
        <f aca="false">LEN(E67)</f>
        <v>56</v>
      </c>
      <c r="G67" s="8" t="str">
        <f aca="false">IF(F67&lt;=60,"OK","Largo")</f>
        <v>OK</v>
      </c>
      <c r="H67" s="10" t="s">
        <v>467</v>
      </c>
      <c r="I67" s="8" t="n">
        <f aca="false">LEN(H67)</f>
        <v>143</v>
      </c>
      <c r="J67" s="8" t="str">
        <f aca="false">IF(AND(I67&gt;=120,I67&lt;=155),"OK",IF(I67&lt;120,"Corta","Larga"))</f>
        <v>OK</v>
      </c>
      <c r="K67" s="10" t="s">
        <v>468</v>
      </c>
      <c r="L67" s="9" t="s">
        <v>66</v>
      </c>
    </row>
    <row r="68" customFormat="false" ht="35.05" hidden="false" customHeight="false" outlineLevel="0" collapsed="false">
      <c r="A68" s="8" t="s">
        <v>469</v>
      </c>
      <c r="B68" s="8" t="s">
        <v>463</v>
      </c>
      <c r="C68" s="9" t="s">
        <v>470</v>
      </c>
      <c r="D68" s="10" t="s">
        <v>471</v>
      </c>
      <c r="E68" s="10" t="s">
        <v>472</v>
      </c>
      <c r="F68" s="8" t="n">
        <f aca="false">LEN(E68)</f>
        <v>56</v>
      </c>
      <c r="G68" s="8" t="str">
        <f aca="false">IF(F68&lt;=60,"OK","Largo")</f>
        <v>OK</v>
      </c>
      <c r="H68" s="10" t="s">
        <v>473</v>
      </c>
      <c r="I68" s="8" t="n">
        <f aca="false">LEN(H68)</f>
        <v>143</v>
      </c>
      <c r="J68" s="8" t="str">
        <f aca="false">IF(AND(I68&gt;=120,I68&lt;=155),"OK",IF(I68&lt;120,"Corta","Larga"))</f>
        <v>OK</v>
      </c>
      <c r="K68" s="10" t="s">
        <v>474</v>
      </c>
      <c r="L68" s="9" t="s">
        <v>66</v>
      </c>
    </row>
    <row r="69" customFormat="false" ht="35.05" hidden="false" customHeight="false" outlineLevel="0" collapsed="false">
      <c r="A69" s="8" t="s">
        <v>475</v>
      </c>
      <c r="B69" s="8" t="s">
        <v>476</v>
      </c>
      <c r="C69" s="9" t="s">
        <v>477</v>
      </c>
      <c r="D69" s="10" t="s">
        <v>478</v>
      </c>
      <c r="E69" s="10" t="s">
        <v>479</v>
      </c>
      <c r="F69" s="8" t="n">
        <f aca="false">LEN(E69)</f>
        <v>53</v>
      </c>
      <c r="G69" s="8" t="str">
        <f aca="false">IF(F69&lt;=60,"OK","Largo")</f>
        <v>OK</v>
      </c>
      <c r="H69" s="10" t="s">
        <v>480</v>
      </c>
      <c r="I69" s="8" t="n">
        <f aca="false">LEN(H69)</f>
        <v>140</v>
      </c>
      <c r="J69" s="8" t="str">
        <f aca="false">IF(AND(I69&gt;=120,I69&lt;=155),"OK",IF(I69&lt;120,"Corta","Larga"))</f>
        <v>OK</v>
      </c>
      <c r="K69" s="10" t="s">
        <v>481</v>
      </c>
      <c r="L69" s="9" t="s">
        <v>482</v>
      </c>
    </row>
    <row r="70" customFormat="false" ht="23.85" hidden="false" customHeight="false" outlineLevel="0" collapsed="false">
      <c r="A70" s="8" t="s">
        <v>483</v>
      </c>
      <c r="B70" s="8" t="s">
        <v>476</v>
      </c>
      <c r="C70" s="9" t="s">
        <v>484</v>
      </c>
      <c r="D70" s="10" t="s">
        <v>485</v>
      </c>
      <c r="E70" s="10" t="s">
        <v>486</v>
      </c>
      <c r="F70" s="8" t="n">
        <f aca="false">LEN(E70)</f>
        <v>51</v>
      </c>
      <c r="G70" s="8" t="str">
        <f aca="false">IF(F70&lt;=60,"OK","Largo")</f>
        <v>OK</v>
      </c>
      <c r="H70" s="10" t="s">
        <v>487</v>
      </c>
      <c r="I70" s="8" t="n">
        <f aca="false">LEN(H70)</f>
        <v>138</v>
      </c>
      <c r="J70" s="8" t="str">
        <f aca="false">IF(AND(I70&gt;=120,I70&lt;=155),"OK",IF(I70&lt;120,"Corta","Larga"))</f>
        <v>OK</v>
      </c>
      <c r="K70" s="10" t="s">
        <v>488</v>
      </c>
      <c r="L70" s="9" t="s">
        <v>482</v>
      </c>
    </row>
    <row r="71" customFormat="false" ht="23.85" hidden="false" customHeight="false" outlineLevel="0" collapsed="false">
      <c r="A71" s="8" t="s">
        <v>489</v>
      </c>
      <c r="B71" s="8" t="s">
        <v>476</v>
      </c>
      <c r="C71" s="9" t="s">
        <v>490</v>
      </c>
      <c r="D71" s="10" t="s">
        <v>491</v>
      </c>
      <c r="E71" s="10" t="s">
        <v>492</v>
      </c>
      <c r="F71" s="8" t="n">
        <f aca="false">LEN(E71)</f>
        <v>52</v>
      </c>
      <c r="G71" s="8" t="str">
        <f aca="false">IF(F71&lt;=60,"OK","Largo")</f>
        <v>OK</v>
      </c>
      <c r="H71" s="10" t="s">
        <v>493</v>
      </c>
      <c r="I71" s="8" t="n">
        <f aca="false">LEN(H71)</f>
        <v>139</v>
      </c>
      <c r="J71" s="8" t="str">
        <f aca="false">IF(AND(I71&gt;=120,I71&lt;=155),"OK",IF(I71&lt;120,"Corta","Larga"))</f>
        <v>OK</v>
      </c>
      <c r="K71" s="10" t="s">
        <v>494</v>
      </c>
      <c r="L71" s="9" t="s">
        <v>482</v>
      </c>
    </row>
    <row r="72" customFormat="false" ht="35.05" hidden="false" customHeight="false" outlineLevel="0" collapsed="false">
      <c r="A72" s="8" t="s">
        <v>495</v>
      </c>
      <c r="B72" s="8" t="s">
        <v>476</v>
      </c>
      <c r="C72" s="9" t="s">
        <v>496</v>
      </c>
      <c r="D72" s="10" t="s">
        <v>497</v>
      </c>
      <c r="E72" s="10" t="s">
        <v>498</v>
      </c>
      <c r="F72" s="8" t="n">
        <f aca="false">LEN(E72)</f>
        <v>49</v>
      </c>
      <c r="G72" s="8" t="str">
        <f aca="false">IF(F72&lt;=60,"OK","Largo")</f>
        <v>OK</v>
      </c>
      <c r="H72" s="10" t="s">
        <v>499</v>
      </c>
      <c r="I72" s="8" t="n">
        <f aca="false">LEN(H72)</f>
        <v>154</v>
      </c>
      <c r="J72" s="8" t="str">
        <f aca="false">IF(AND(I72&gt;=120,I72&lt;=155),"OK",IF(I72&lt;120,"Corta","Larga"))</f>
        <v>OK</v>
      </c>
      <c r="K72" s="10" t="s">
        <v>500</v>
      </c>
      <c r="L72" s="9" t="s">
        <v>482</v>
      </c>
    </row>
    <row r="73" customFormat="false" ht="35.05" hidden="false" customHeight="false" outlineLevel="0" collapsed="false">
      <c r="A73" s="8" t="s">
        <v>501</v>
      </c>
      <c r="B73" s="8" t="s">
        <v>502</v>
      </c>
      <c r="C73" s="9" t="s">
        <v>503</v>
      </c>
      <c r="D73" s="10" t="s">
        <v>504</v>
      </c>
      <c r="E73" s="10" t="s">
        <v>505</v>
      </c>
      <c r="F73" s="8" t="n">
        <f aca="false">LEN(E73)</f>
        <v>60</v>
      </c>
      <c r="G73" s="8" t="str">
        <f aca="false">IF(F73&lt;=60,"OK","Largo")</f>
        <v>OK</v>
      </c>
      <c r="H73" s="10" t="s">
        <v>506</v>
      </c>
      <c r="I73" s="8" t="n">
        <f aca="false">LEN(H73)</f>
        <v>147</v>
      </c>
      <c r="J73" s="8" t="str">
        <f aca="false">IF(AND(I73&gt;=120,I73&lt;=155),"OK",IF(I73&lt;120,"Corta","Larga"))</f>
        <v>OK</v>
      </c>
      <c r="K73" s="10" t="s">
        <v>507</v>
      </c>
      <c r="L73" s="9" t="s">
        <v>66</v>
      </c>
    </row>
    <row r="74" customFormat="false" ht="35.05" hidden="false" customHeight="false" outlineLevel="0" collapsed="false">
      <c r="A74" s="8" t="s">
        <v>508</v>
      </c>
      <c r="B74" s="8" t="s">
        <v>509</v>
      </c>
      <c r="C74" s="9" t="s">
        <v>510</v>
      </c>
      <c r="D74" s="10" t="s">
        <v>511</v>
      </c>
      <c r="E74" s="10" t="s">
        <v>512</v>
      </c>
      <c r="F74" s="8" t="n">
        <f aca="false">LEN(E74)</f>
        <v>56</v>
      </c>
      <c r="G74" s="8" t="str">
        <f aca="false">IF(F74&lt;=60,"OK","Largo")</f>
        <v>OK</v>
      </c>
      <c r="H74" s="10" t="s">
        <v>513</v>
      </c>
      <c r="I74" s="8" t="n">
        <f aca="false">LEN(H74)</f>
        <v>152</v>
      </c>
      <c r="J74" s="8" t="str">
        <f aca="false">IF(AND(I74&gt;=120,I74&lt;=155),"OK",IF(I74&lt;120,"Corta","Larga"))</f>
        <v>OK</v>
      </c>
      <c r="K74" s="10" t="s">
        <v>514</v>
      </c>
      <c r="L74" s="9" t="s">
        <v>66</v>
      </c>
    </row>
    <row r="75" customFormat="false" ht="35.05" hidden="false" customHeight="false" outlineLevel="0" collapsed="false">
      <c r="A75" s="8" t="s">
        <v>515</v>
      </c>
      <c r="B75" s="8" t="s">
        <v>509</v>
      </c>
      <c r="C75" s="9" t="s">
        <v>516</v>
      </c>
      <c r="D75" s="10" t="s">
        <v>517</v>
      </c>
      <c r="E75" s="10" t="s">
        <v>518</v>
      </c>
      <c r="F75" s="8" t="n">
        <f aca="false">LEN(E75)</f>
        <v>46</v>
      </c>
      <c r="G75" s="8" t="str">
        <f aca="false">IF(F75&lt;=60,"OK","Largo")</f>
        <v>OK</v>
      </c>
      <c r="H75" s="10" t="s">
        <v>519</v>
      </c>
      <c r="I75" s="8" t="n">
        <f aca="false">LEN(H75)</f>
        <v>151</v>
      </c>
      <c r="J75" s="8" t="str">
        <f aca="false">IF(AND(I75&gt;=120,I75&lt;=155),"OK",IF(I75&lt;120,"Corta","Larga"))</f>
        <v>OK</v>
      </c>
      <c r="K75" s="10" t="s">
        <v>520</v>
      </c>
      <c r="L75" s="9" t="s">
        <v>66</v>
      </c>
    </row>
    <row r="76" customFormat="false" ht="35.05" hidden="false" customHeight="false" outlineLevel="0" collapsed="false">
      <c r="A76" s="8" t="s">
        <v>521</v>
      </c>
      <c r="B76" s="8" t="s">
        <v>509</v>
      </c>
      <c r="C76" s="9" t="s">
        <v>522</v>
      </c>
      <c r="D76" s="10" t="s">
        <v>523</v>
      </c>
      <c r="E76" s="10" t="s">
        <v>524</v>
      </c>
      <c r="F76" s="8" t="n">
        <f aca="false">LEN(E76)</f>
        <v>55</v>
      </c>
      <c r="G76" s="8" t="str">
        <f aca="false">IF(F76&lt;=60,"OK","Largo")</f>
        <v>OK</v>
      </c>
      <c r="H76" s="10" t="s">
        <v>525</v>
      </c>
      <c r="I76" s="8" t="n">
        <f aca="false">LEN(H76)</f>
        <v>142</v>
      </c>
      <c r="J76" s="8" t="str">
        <f aca="false">IF(AND(I76&gt;=120,I76&lt;=155),"OK",IF(I76&lt;120,"Corta","Larga"))</f>
        <v>OK</v>
      </c>
      <c r="K76" s="10" t="s">
        <v>526</v>
      </c>
      <c r="L76" s="9" t="s">
        <v>66</v>
      </c>
    </row>
    <row r="77" customFormat="false" ht="35.05" hidden="false" customHeight="false" outlineLevel="0" collapsed="false">
      <c r="A77" s="8" t="s">
        <v>527</v>
      </c>
      <c r="B77" s="8" t="s">
        <v>528</v>
      </c>
      <c r="C77" s="9" t="s">
        <v>529</v>
      </c>
      <c r="D77" s="10" t="s">
        <v>530</v>
      </c>
      <c r="E77" s="10" t="s">
        <v>531</v>
      </c>
      <c r="F77" s="8" t="n">
        <f aca="false">LEN(E77)</f>
        <v>47</v>
      </c>
      <c r="G77" s="8" t="str">
        <f aca="false">IF(F77&lt;=60,"OK","Largo")</f>
        <v>OK</v>
      </c>
      <c r="H77" s="10" t="s">
        <v>532</v>
      </c>
      <c r="I77" s="8" t="n">
        <f aca="false">LEN(H77)</f>
        <v>152</v>
      </c>
      <c r="J77" s="8" t="str">
        <f aca="false">IF(AND(I77&gt;=120,I77&lt;=155),"OK",IF(I77&lt;120,"Corta","Larga"))</f>
        <v>OK</v>
      </c>
      <c r="K77" s="10" t="s">
        <v>533</v>
      </c>
      <c r="L77" s="9" t="s">
        <v>66</v>
      </c>
    </row>
    <row r="78" customFormat="false" ht="35.05" hidden="false" customHeight="false" outlineLevel="0" collapsed="false">
      <c r="A78" s="8" t="s">
        <v>534</v>
      </c>
      <c r="B78" s="8" t="s">
        <v>528</v>
      </c>
      <c r="C78" s="9" t="s">
        <v>535</v>
      </c>
      <c r="D78" s="10" t="s">
        <v>536</v>
      </c>
      <c r="E78" s="10" t="s">
        <v>537</v>
      </c>
      <c r="F78" s="8" t="n">
        <f aca="false">LEN(E78)</f>
        <v>54</v>
      </c>
      <c r="G78" s="8" t="str">
        <f aca="false">IF(F78&lt;=60,"OK","Largo")</f>
        <v>OK</v>
      </c>
      <c r="H78" s="10" t="s">
        <v>538</v>
      </c>
      <c r="I78" s="8" t="n">
        <f aca="false">LEN(H78)</f>
        <v>141</v>
      </c>
      <c r="J78" s="8" t="str">
        <f aca="false">IF(AND(I78&gt;=120,I78&lt;=155),"OK",IF(I78&lt;120,"Corta","Larga"))</f>
        <v>OK</v>
      </c>
      <c r="K78" s="10" t="s">
        <v>539</v>
      </c>
      <c r="L78" s="9" t="s">
        <v>66</v>
      </c>
    </row>
    <row r="79" customFormat="false" ht="35.05" hidden="false" customHeight="false" outlineLevel="0" collapsed="false">
      <c r="A79" s="8" t="s">
        <v>540</v>
      </c>
      <c r="B79" s="8" t="s">
        <v>528</v>
      </c>
      <c r="C79" s="9" t="s">
        <v>541</v>
      </c>
      <c r="D79" s="10" t="s">
        <v>542</v>
      </c>
      <c r="E79" s="10" t="s">
        <v>543</v>
      </c>
      <c r="F79" s="8" t="n">
        <f aca="false">LEN(E79)</f>
        <v>51</v>
      </c>
      <c r="G79" s="8" t="str">
        <f aca="false">IF(F79&lt;=60,"OK","Largo")</f>
        <v>OK</v>
      </c>
      <c r="H79" s="10" t="s">
        <v>544</v>
      </c>
      <c r="I79" s="8" t="n">
        <f aca="false">LEN(H79)</f>
        <v>138</v>
      </c>
      <c r="J79" s="8" t="str">
        <f aca="false">IF(AND(I79&gt;=120,I79&lt;=155),"OK",IF(I79&lt;120,"Corta","Larga"))</f>
        <v>OK</v>
      </c>
      <c r="K79" s="10" t="s">
        <v>545</v>
      </c>
      <c r="L79" s="9" t="s">
        <v>66</v>
      </c>
    </row>
    <row r="80" customFormat="false" ht="35.05" hidden="false" customHeight="false" outlineLevel="0" collapsed="false">
      <c r="A80" s="8" t="s">
        <v>546</v>
      </c>
      <c r="B80" s="8" t="s">
        <v>528</v>
      </c>
      <c r="C80" s="9" t="s">
        <v>547</v>
      </c>
      <c r="D80" s="10" t="s">
        <v>548</v>
      </c>
      <c r="E80" s="10" t="s">
        <v>549</v>
      </c>
      <c r="F80" s="8" t="n">
        <f aca="false">LEN(E80)</f>
        <v>59</v>
      </c>
      <c r="G80" s="8" t="str">
        <f aca="false">IF(F80&lt;=60,"OK","Largo")</f>
        <v>OK</v>
      </c>
      <c r="H80" s="10" t="s">
        <v>550</v>
      </c>
      <c r="I80" s="8" t="n">
        <f aca="false">LEN(H80)</f>
        <v>146</v>
      </c>
      <c r="J80" s="8" t="str">
        <f aca="false">IF(AND(I80&gt;=120,I80&lt;=155),"OK",IF(I80&lt;120,"Corta","Larga"))</f>
        <v>OK</v>
      </c>
      <c r="K80" s="10" t="s">
        <v>551</v>
      </c>
      <c r="L80" s="9" t="s">
        <v>66</v>
      </c>
    </row>
    <row r="81" customFormat="false" ht="35.05" hidden="false" customHeight="false" outlineLevel="0" collapsed="false">
      <c r="A81" s="8" t="s">
        <v>552</v>
      </c>
      <c r="B81" s="8" t="s">
        <v>528</v>
      </c>
      <c r="C81" s="9" t="s">
        <v>553</v>
      </c>
      <c r="D81" s="10" t="s">
        <v>554</v>
      </c>
      <c r="E81" s="10" t="s">
        <v>555</v>
      </c>
      <c r="F81" s="8" t="n">
        <f aca="false">LEN(E81)</f>
        <v>59</v>
      </c>
      <c r="G81" s="8" t="str">
        <f aca="false">IF(F81&lt;=60,"OK","Largo")</f>
        <v>OK</v>
      </c>
      <c r="H81" s="10" t="s">
        <v>556</v>
      </c>
      <c r="I81" s="8" t="n">
        <f aca="false">LEN(H81)</f>
        <v>146</v>
      </c>
      <c r="J81" s="8" t="str">
        <f aca="false">IF(AND(I81&gt;=120,I81&lt;=155),"OK",IF(I81&lt;120,"Corta","Larga"))</f>
        <v>OK</v>
      </c>
      <c r="K81" s="10" t="s">
        <v>557</v>
      </c>
      <c r="L81" s="9" t="s">
        <v>66</v>
      </c>
    </row>
    <row r="82" customFormat="false" ht="35.05" hidden="false" customHeight="false" outlineLevel="0" collapsed="false">
      <c r="A82" s="8" t="s">
        <v>558</v>
      </c>
      <c r="B82" s="8" t="s">
        <v>559</v>
      </c>
      <c r="C82" s="9" t="s">
        <v>560</v>
      </c>
      <c r="D82" s="10" t="s">
        <v>561</v>
      </c>
      <c r="E82" s="10" t="s">
        <v>562</v>
      </c>
      <c r="F82" s="8" t="n">
        <f aca="false">LEN(E82)</f>
        <v>60</v>
      </c>
      <c r="G82" s="8" t="str">
        <f aca="false">IF(F82&lt;=60,"OK","Largo")</f>
        <v>OK</v>
      </c>
      <c r="H82" s="10" t="s">
        <v>563</v>
      </c>
      <c r="I82" s="8" t="n">
        <f aca="false">LEN(H82)</f>
        <v>147</v>
      </c>
      <c r="J82" s="8" t="str">
        <f aca="false">IF(AND(I82&gt;=120,I82&lt;=155),"OK",IF(I82&lt;120,"Corta","Larga"))</f>
        <v>OK</v>
      </c>
      <c r="K82" s="10" t="s">
        <v>564</v>
      </c>
      <c r="L82" s="9" t="s">
        <v>66</v>
      </c>
    </row>
    <row r="83" customFormat="false" ht="35.05" hidden="false" customHeight="false" outlineLevel="0" collapsed="false">
      <c r="A83" s="8" t="s">
        <v>565</v>
      </c>
      <c r="B83" s="8" t="s">
        <v>566</v>
      </c>
      <c r="C83" s="9" t="s">
        <v>567</v>
      </c>
      <c r="D83" s="10" t="s">
        <v>568</v>
      </c>
      <c r="E83" s="10" t="s">
        <v>568</v>
      </c>
      <c r="F83" s="8" t="n">
        <f aca="false">LEN(E83)</f>
        <v>58</v>
      </c>
      <c r="G83" s="8" t="str">
        <f aca="false">IF(F83&lt;=60,"OK","Largo")</f>
        <v>OK</v>
      </c>
      <c r="H83" s="10" t="s">
        <v>569</v>
      </c>
      <c r="I83" s="8" t="n">
        <f aca="false">LEN(H83)</f>
        <v>135</v>
      </c>
      <c r="J83" s="8" t="str">
        <f aca="false">IF(AND(I83&gt;=120,I83&lt;=155),"OK",IF(I83&lt;120,"Corta","Larga"))</f>
        <v>OK</v>
      </c>
      <c r="K83" s="10" t="s">
        <v>570</v>
      </c>
      <c r="L83" s="9" t="s">
        <v>66</v>
      </c>
    </row>
    <row r="84" customFormat="false" ht="23.85" hidden="false" customHeight="false" outlineLevel="0" collapsed="false">
      <c r="A84" s="8" t="s">
        <v>571</v>
      </c>
      <c r="B84" s="8" t="s">
        <v>566</v>
      </c>
      <c r="C84" s="9" t="s">
        <v>572</v>
      </c>
      <c r="D84" s="10" t="s">
        <v>573</v>
      </c>
      <c r="E84" s="10" t="s">
        <v>573</v>
      </c>
      <c r="F84" s="8" t="n">
        <f aca="false">LEN(E84)</f>
        <v>54</v>
      </c>
      <c r="G84" s="8" t="str">
        <f aca="false">IF(F84&lt;=60,"OK","Largo")</f>
        <v>OK</v>
      </c>
      <c r="H84" s="10" t="s">
        <v>574</v>
      </c>
      <c r="I84" s="8" t="n">
        <f aca="false">LEN(H84)</f>
        <v>131</v>
      </c>
      <c r="J84" s="8" t="str">
        <f aca="false">IF(AND(I84&gt;=120,I84&lt;=155),"OK",IF(I84&lt;120,"Corta","Larga"))</f>
        <v>OK</v>
      </c>
      <c r="K84" s="10" t="s">
        <v>575</v>
      </c>
      <c r="L84" s="9" t="s">
        <v>66</v>
      </c>
    </row>
    <row r="85" customFormat="false" ht="23.85" hidden="false" customHeight="false" outlineLevel="0" collapsed="false">
      <c r="A85" s="8" t="s">
        <v>576</v>
      </c>
      <c r="B85" s="8" t="s">
        <v>566</v>
      </c>
      <c r="C85" s="9" t="s">
        <v>577</v>
      </c>
      <c r="D85" s="10" t="s">
        <v>578</v>
      </c>
      <c r="E85" s="10" t="s">
        <v>578</v>
      </c>
      <c r="F85" s="8" t="n">
        <f aca="false">LEN(E85)</f>
        <v>56</v>
      </c>
      <c r="G85" s="8" t="str">
        <f aca="false">IF(F85&lt;=60,"OK","Largo")</f>
        <v>OK</v>
      </c>
      <c r="H85" s="10" t="s">
        <v>579</v>
      </c>
      <c r="I85" s="8" t="n">
        <f aca="false">LEN(H85)</f>
        <v>133</v>
      </c>
      <c r="J85" s="8" t="str">
        <f aca="false">IF(AND(I85&gt;=120,I85&lt;=155),"OK",IF(I85&lt;120,"Corta","Larga"))</f>
        <v>OK</v>
      </c>
      <c r="K85" s="10" t="s">
        <v>580</v>
      </c>
      <c r="L85" s="9" t="s">
        <v>66</v>
      </c>
    </row>
    <row r="86" customFormat="false" ht="35.05" hidden="false" customHeight="false" outlineLevel="0" collapsed="false">
      <c r="A86" s="8" t="s">
        <v>581</v>
      </c>
      <c r="B86" s="8" t="s">
        <v>566</v>
      </c>
      <c r="C86" s="9" t="s">
        <v>582</v>
      </c>
      <c r="D86" s="10" t="s">
        <v>583</v>
      </c>
      <c r="E86" s="10" t="s">
        <v>584</v>
      </c>
      <c r="F86" s="8" t="n">
        <f aca="false">LEN(E86)</f>
        <v>58</v>
      </c>
      <c r="G86" s="8" t="str">
        <f aca="false">IF(F86&lt;=60,"OK","Largo")</f>
        <v>OK</v>
      </c>
      <c r="H86" s="10" t="s">
        <v>585</v>
      </c>
      <c r="I86" s="8" t="n">
        <f aca="false">LEN(H86)</f>
        <v>145</v>
      </c>
      <c r="J86" s="8" t="str">
        <f aca="false">IF(AND(I86&gt;=120,I86&lt;=155),"OK",IF(I86&lt;120,"Corta","Larga"))</f>
        <v>OK</v>
      </c>
      <c r="K86" s="10" t="s">
        <v>586</v>
      </c>
      <c r="L86" s="9" t="s">
        <v>66</v>
      </c>
    </row>
    <row r="87" customFormat="false" ht="35.05" hidden="false" customHeight="false" outlineLevel="0" collapsed="false">
      <c r="A87" s="8" t="s">
        <v>587</v>
      </c>
      <c r="B87" s="8" t="s">
        <v>566</v>
      </c>
      <c r="C87" s="9" t="s">
        <v>588</v>
      </c>
      <c r="D87" s="10" t="s">
        <v>589</v>
      </c>
      <c r="E87" s="10" t="s">
        <v>590</v>
      </c>
      <c r="F87" s="8" t="n">
        <f aca="false">LEN(E87)</f>
        <v>57</v>
      </c>
      <c r="G87" s="8" t="str">
        <f aca="false">IF(F87&lt;=60,"OK","Largo")</f>
        <v>OK</v>
      </c>
      <c r="H87" s="10" t="s">
        <v>591</v>
      </c>
      <c r="I87" s="8" t="n">
        <f aca="false">LEN(H87)</f>
        <v>144</v>
      </c>
      <c r="J87" s="8" t="str">
        <f aca="false">IF(AND(I87&gt;=120,I87&lt;=155),"OK",IF(I87&lt;120,"Corta","Larga"))</f>
        <v>OK</v>
      </c>
      <c r="K87" s="10" t="s">
        <v>592</v>
      </c>
      <c r="L87" s="9" t="s">
        <v>66</v>
      </c>
    </row>
    <row r="88" customFormat="false" ht="35.05" hidden="false" customHeight="false" outlineLevel="0" collapsed="false">
      <c r="A88" s="8" t="s">
        <v>593</v>
      </c>
      <c r="B88" s="8" t="s">
        <v>566</v>
      </c>
      <c r="C88" s="9" t="s">
        <v>594</v>
      </c>
      <c r="D88" s="10" t="s">
        <v>595</v>
      </c>
      <c r="E88" s="10" t="s">
        <v>596</v>
      </c>
      <c r="F88" s="8" t="n">
        <f aca="false">LEN(E88)</f>
        <v>58</v>
      </c>
      <c r="G88" s="8" t="str">
        <f aca="false">IF(F88&lt;=60,"OK","Largo")</f>
        <v>OK</v>
      </c>
      <c r="H88" s="10" t="s">
        <v>597</v>
      </c>
      <c r="I88" s="8" t="n">
        <f aca="false">LEN(H88)</f>
        <v>145</v>
      </c>
      <c r="J88" s="8" t="str">
        <f aca="false">IF(AND(I88&gt;=120,I88&lt;=155),"OK",IF(I88&lt;120,"Corta","Larga"))</f>
        <v>OK</v>
      </c>
      <c r="K88" s="10" t="s">
        <v>598</v>
      </c>
      <c r="L88" s="9" t="s">
        <v>66</v>
      </c>
    </row>
    <row r="89" customFormat="false" ht="35.05" hidden="false" customHeight="false" outlineLevel="0" collapsed="false">
      <c r="A89" s="8" t="s">
        <v>599</v>
      </c>
      <c r="B89" s="8" t="s">
        <v>566</v>
      </c>
      <c r="C89" s="9" t="s">
        <v>600</v>
      </c>
      <c r="D89" s="10" t="s">
        <v>601</v>
      </c>
      <c r="E89" s="10" t="s">
        <v>601</v>
      </c>
      <c r="F89" s="8" t="n">
        <f aca="false">LEN(E89)</f>
        <v>58</v>
      </c>
      <c r="G89" s="8" t="str">
        <f aca="false">IF(F89&lt;=60,"OK","Largo")</f>
        <v>OK</v>
      </c>
      <c r="H89" s="10" t="s">
        <v>602</v>
      </c>
      <c r="I89" s="8" t="n">
        <f aca="false">LEN(H89)</f>
        <v>135</v>
      </c>
      <c r="J89" s="8" t="str">
        <f aca="false">IF(AND(I89&gt;=120,I89&lt;=155),"OK",IF(I89&lt;120,"Corta","Larga"))</f>
        <v>OK</v>
      </c>
      <c r="K89" s="10" t="s">
        <v>603</v>
      </c>
      <c r="L89" s="9" t="s">
        <v>66</v>
      </c>
    </row>
    <row r="90" customFormat="false" ht="35.05" hidden="false" customHeight="false" outlineLevel="0" collapsed="false">
      <c r="A90" s="8" t="s">
        <v>604</v>
      </c>
      <c r="B90" s="8" t="s">
        <v>566</v>
      </c>
      <c r="C90" s="9" t="s">
        <v>605</v>
      </c>
      <c r="D90" s="10" t="s">
        <v>606</v>
      </c>
      <c r="E90" s="10" t="s">
        <v>607</v>
      </c>
      <c r="F90" s="8" t="n">
        <f aca="false">LEN(E90)</f>
        <v>52</v>
      </c>
      <c r="G90" s="8" t="str">
        <f aca="false">IF(F90&lt;=60,"OK","Largo")</f>
        <v>OK</v>
      </c>
      <c r="H90" s="10" t="s">
        <v>608</v>
      </c>
      <c r="I90" s="8" t="n">
        <f aca="false">LEN(H90)</f>
        <v>148</v>
      </c>
      <c r="J90" s="8" t="str">
        <f aca="false">IF(AND(I90&gt;=120,I90&lt;=155),"OK",IF(I90&lt;120,"Corta","Larga"))</f>
        <v>OK</v>
      </c>
      <c r="K90" s="10" t="s">
        <v>609</v>
      </c>
      <c r="L90" s="9" t="s">
        <v>66</v>
      </c>
    </row>
    <row r="91" customFormat="false" ht="35.05" hidden="false" customHeight="false" outlineLevel="0" collapsed="false">
      <c r="A91" s="8" t="s">
        <v>610</v>
      </c>
      <c r="B91" s="8" t="s">
        <v>566</v>
      </c>
      <c r="C91" s="9" t="s">
        <v>611</v>
      </c>
      <c r="D91" s="10" t="s">
        <v>612</v>
      </c>
      <c r="E91" s="10" t="s">
        <v>613</v>
      </c>
      <c r="F91" s="8" t="n">
        <f aca="false">LEN(E91)</f>
        <v>53</v>
      </c>
      <c r="G91" s="8" t="str">
        <f aca="false">IF(F91&lt;=60,"OK","Largo")</f>
        <v>OK</v>
      </c>
      <c r="H91" s="10" t="s">
        <v>614</v>
      </c>
      <c r="I91" s="8" t="n">
        <f aca="false">LEN(H91)</f>
        <v>149</v>
      </c>
      <c r="J91" s="8" t="str">
        <f aca="false">IF(AND(I91&gt;=120,I91&lt;=155),"OK",IF(I91&lt;120,"Corta","Larga"))</f>
        <v>OK</v>
      </c>
      <c r="K91" s="10" t="s">
        <v>615</v>
      </c>
      <c r="L91" s="9" t="s">
        <v>66</v>
      </c>
    </row>
    <row r="92" customFormat="false" ht="35.05" hidden="false" customHeight="false" outlineLevel="0" collapsed="false">
      <c r="A92" s="8" t="s">
        <v>616</v>
      </c>
      <c r="B92" s="8" t="s">
        <v>566</v>
      </c>
      <c r="C92" s="9" t="s">
        <v>617</v>
      </c>
      <c r="D92" s="10" t="s">
        <v>618</v>
      </c>
      <c r="E92" s="10" t="s">
        <v>619</v>
      </c>
      <c r="F92" s="8" t="n">
        <f aca="false">LEN(E92)</f>
        <v>53</v>
      </c>
      <c r="G92" s="8" t="str">
        <f aca="false">IF(F92&lt;=60,"OK","Largo")</f>
        <v>OK</v>
      </c>
      <c r="H92" s="10" t="s">
        <v>620</v>
      </c>
      <c r="I92" s="8" t="n">
        <f aca="false">LEN(H92)</f>
        <v>149</v>
      </c>
      <c r="J92" s="8" t="str">
        <f aca="false">IF(AND(I92&gt;=120,I92&lt;=155),"OK",IF(I92&lt;120,"Corta","Larga"))</f>
        <v>OK</v>
      </c>
      <c r="K92" s="10" t="s">
        <v>621</v>
      </c>
      <c r="L92" s="9" t="s">
        <v>66</v>
      </c>
    </row>
    <row r="93" customFormat="false" ht="35.05" hidden="false" customHeight="false" outlineLevel="0" collapsed="false">
      <c r="A93" s="8" t="s">
        <v>622</v>
      </c>
      <c r="B93" s="8" t="s">
        <v>566</v>
      </c>
      <c r="C93" s="9" t="s">
        <v>623</v>
      </c>
      <c r="D93" s="10" t="s">
        <v>624</v>
      </c>
      <c r="E93" s="10" t="s">
        <v>625</v>
      </c>
      <c r="F93" s="8" t="n">
        <f aca="false">LEN(E93)</f>
        <v>60</v>
      </c>
      <c r="G93" s="8" t="str">
        <f aca="false">IF(F93&lt;=60,"OK","Largo")</f>
        <v>OK</v>
      </c>
      <c r="H93" s="10" t="s">
        <v>626</v>
      </c>
      <c r="I93" s="8" t="n">
        <f aca="false">LEN(H93)</f>
        <v>147</v>
      </c>
      <c r="J93" s="8" t="str">
        <f aca="false">IF(AND(I93&gt;=120,I93&lt;=155),"OK",IF(I93&lt;120,"Corta","Larga"))</f>
        <v>OK</v>
      </c>
      <c r="K93" s="10" t="s">
        <v>627</v>
      </c>
      <c r="L93" s="9" t="s">
        <v>66</v>
      </c>
    </row>
    <row r="94" customFormat="false" ht="35.05" hidden="false" customHeight="false" outlineLevel="0" collapsed="false">
      <c r="A94" s="8" t="s">
        <v>628</v>
      </c>
      <c r="B94" s="8" t="s">
        <v>566</v>
      </c>
      <c r="C94" s="9" t="s">
        <v>629</v>
      </c>
      <c r="D94" s="10" t="s">
        <v>630</v>
      </c>
      <c r="E94" s="10" t="s">
        <v>630</v>
      </c>
      <c r="F94" s="8" t="n">
        <f aca="false">LEN(E94)</f>
        <v>59</v>
      </c>
      <c r="G94" s="8" t="str">
        <f aca="false">IF(F94&lt;=60,"OK","Largo")</f>
        <v>OK</v>
      </c>
      <c r="H94" s="10" t="s">
        <v>631</v>
      </c>
      <c r="I94" s="8" t="n">
        <f aca="false">LEN(H94)</f>
        <v>136</v>
      </c>
      <c r="J94" s="8" t="str">
        <f aca="false">IF(AND(I94&gt;=120,I94&lt;=155),"OK",IF(I94&lt;120,"Corta","Larga"))</f>
        <v>OK</v>
      </c>
      <c r="K94" s="10" t="s">
        <v>632</v>
      </c>
      <c r="L94" s="9" t="s">
        <v>66</v>
      </c>
    </row>
    <row r="95" customFormat="false" ht="35.05" hidden="false" customHeight="false" outlineLevel="0" collapsed="false">
      <c r="A95" s="8" t="s">
        <v>633</v>
      </c>
      <c r="B95" s="8" t="s">
        <v>566</v>
      </c>
      <c r="C95" s="9" t="s">
        <v>634</v>
      </c>
      <c r="D95" s="10" t="s">
        <v>635</v>
      </c>
      <c r="E95" s="10" t="s">
        <v>636</v>
      </c>
      <c r="F95" s="8" t="n">
        <f aca="false">LEN(E95)</f>
        <v>60</v>
      </c>
      <c r="G95" s="8" t="str">
        <f aca="false">IF(F95&lt;=60,"OK","Largo")</f>
        <v>OK</v>
      </c>
      <c r="H95" s="10" t="s">
        <v>637</v>
      </c>
      <c r="I95" s="8" t="n">
        <f aca="false">LEN(H95)</f>
        <v>147</v>
      </c>
      <c r="J95" s="8" t="str">
        <f aca="false">IF(AND(I95&gt;=120,I95&lt;=155),"OK",IF(I95&lt;120,"Corta","Larga"))</f>
        <v>OK</v>
      </c>
      <c r="K95" s="10" t="s">
        <v>638</v>
      </c>
      <c r="L95" s="9" t="s">
        <v>66</v>
      </c>
    </row>
    <row r="96" customFormat="false" ht="35.05" hidden="false" customHeight="false" outlineLevel="0" collapsed="false">
      <c r="A96" s="8" t="s">
        <v>639</v>
      </c>
      <c r="B96" s="8" t="s">
        <v>566</v>
      </c>
      <c r="C96" s="9" t="s">
        <v>640</v>
      </c>
      <c r="D96" s="10" t="s">
        <v>641</v>
      </c>
      <c r="E96" s="10" t="s">
        <v>642</v>
      </c>
      <c r="F96" s="8" t="n">
        <f aca="false">LEN(E96)</f>
        <v>58</v>
      </c>
      <c r="G96" s="8" t="str">
        <f aca="false">IF(F96&lt;=60,"OK","Largo")</f>
        <v>OK</v>
      </c>
      <c r="H96" s="10" t="s">
        <v>643</v>
      </c>
      <c r="I96" s="8" t="n">
        <f aca="false">LEN(H96)</f>
        <v>145</v>
      </c>
      <c r="J96" s="8" t="str">
        <f aca="false">IF(AND(I96&gt;=120,I96&lt;=155),"OK",IF(I96&lt;120,"Corta","Larga"))</f>
        <v>OK</v>
      </c>
      <c r="K96" s="10" t="s">
        <v>644</v>
      </c>
      <c r="L96" s="9" t="s">
        <v>66</v>
      </c>
    </row>
    <row r="97" customFormat="false" ht="35.05" hidden="false" customHeight="false" outlineLevel="0" collapsed="false">
      <c r="A97" s="8" t="s">
        <v>645</v>
      </c>
      <c r="B97" s="8" t="s">
        <v>566</v>
      </c>
      <c r="C97" s="9" t="s">
        <v>646</v>
      </c>
      <c r="D97" s="10" t="s">
        <v>647</v>
      </c>
      <c r="E97" s="10" t="s">
        <v>648</v>
      </c>
      <c r="F97" s="8" t="n">
        <f aca="false">LEN(E97)</f>
        <v>59</v>
      </c>
      <c r="G97" s="8" t="str">
        <f aca="false">IF(F97&lt;=60,"OK","Largo")</f>
        <v>OK</v>
      </c>
      <c r="H97" s="10" t="s">
        <v>649</v>
      </c>
      <c r="I97" s="8" t="n">
        <f aca="false">LEN(H97)</f>
        <v>146</v>
      </c>
      <c r="J97" s="8" t="str">
        <f aca="false">IF(AND(I97&gt;=120,I97&lt;=155),"OK",IF(I97&lt;120,"Corta","Larga"))</f>
        <v>OK</v>
      </c>
      <c r="K97" s="10" t="s">
        <v>650</v>
      </c>
      <c r="L97" s="9" t="s">
        <v>66</v>
      </c>
    </row>
    <row r="98" customFormat="false" ht="35.05" hidden="false" customHeight="false" outlineLevel="0" collapsed="false">
      <c r="A98" s="8" t="s">
        <v>651</v>
      </c>
      <c r="B98" s="8" t="s">
        <v>566</v>
      </c>
      <c r="C98" s="9" t="s">
        <v>652</v>
      </c>
      <c r="D98" s="10" t="s">
        <v>653</v>
      </c>
      <c r="E98" s="10" t="s">
        <v>654</v>
      </c>
      <c r="F98" s="8" t="n">
        <f aca="false">LEN(E98)</f>
        <v>58</v>
      </c>
      <c r="G98" s="8" t="str">
        <f aca="false">IF(F98&lt;=60,"OK","Largo")</f>
        <v>OK</v>
      </c>
      <c r="H98" s="10" t="s">
        <v>655</v>
      </c>
      <c r="I98" s="8" t="n">
        <f aca="false">LEN(H98)</f>
        <v>145</v>
      </c>
      <c r="J98" s="8" t="str">
        <f aca="false">IF(AND(I98&gt;=120,I98&lt;=155),"OK",IF(I98&lt;120,"Corta","Larga"))</f>
        <v>OK</v>
      </c>
      <c r="K98" s="10" t="s">
        <v>656</v>
      </c>
      <c r="L98" s="9" t="s">
        <v>66</v>
      </c>
    </row>
    <row r="99" customFormat="false" ht="35.05" hidden="false" customHeight="false" outlineLevel="0" collapsed="false">
      <c r="A99" s="8" t="s">
        <v>657</v>
      </c>
      <c r="B99" s="8" t="s">
        <v>566</v>
      </c>
      <c r="C99" s="9" t="s">
        <v>658</v>
      </c>
      <c r="D99" s="10" t="s">
        <v>659</v>
      </c>
      <c r="E99" s="10" t="s">
        <v>660</v>
      </c>
      <c r="F99" s="8" t="n">
        <f aca="false">LEN(E99)</f>
        <v>57</v>
      </c>
      <c r="G99" s="8" t="str">
        <f aca="false">IF(F99&lt;=60,"OK","Largo")</f>
        <v>OK</v>
      </c>
      <c r="H99" s="10" t="s">
        <v>661</v>
      </c>
      <c r="I99" s="8" t="n">
        <f aca="false">LEN(H99)</f>
        <v>153</v>
      </c>
      <c r="J99" s="8" t="str">
        <f aca="false">IF(AND(I99&gt;=120,I99&lt;=155),"OK",IF(I99&lt;120,"Corta","Larga"))</f>
        <v>OK</v>
      </c>
      <c r="K99" s="10" t="s">
        <v>662</v>
      </c>
      <c r="L99" s="9" t="s">
        <v>66</v>
      </c>
    </row>
    <row r="100" customFormat="false" ht="35.05" hidden="false" customHeight="false" outlineLevel="0" collapsed="false">
      <c r="A100" s="8" t="s">
        <v>663</v>
      </c>
      <c r="B100" s="8" t="s">
        <v>566</v>
      </c>
      <c r="C100" s="9" t="s">
        <v>664</v>
      </c>
      <c r="D100" s="10" t="s">
        <v>665</v>
      </c>
      <c r="E100" s="10" t="s">
        <v>666</v>
      </c>
      <c r="F100" s="8" t="n">
        <f aca="false">LEN(E100)</f>
        <v>58</v>
      </c>
      <c r="G100" s="8" t="str">
        <f aca="false">IF(F100&lt;=60,"OK","Largo")</f>
        <v>OK</v>
      </c>
      <c r="H100" s="10" t="s">
        <v>667</v>
      </c>
      <c r="I100" s="8" t="n">
        <f aca="false">LEN(H100)</f>
        <v>154</v>
      </c>
      <c r="J100" s="8" t="str">
        <f aca="false">IF(AND(I100&gt;=120,I100&lt;=155),"OK",IF(I100&lt;120,"Corta","Larga"))</f>
        <v>OK</v>
      </c>
      <c r="K100" s="10" t="s">
        <v>668</v>
      </c>
      <c r="L100" s="9" t="s">
        <v>66</v>
      </c>
    </row>
    <row r="101" customFormat="false" ht="35.05" hidden="false" customHeight="false" outlineLevel="0" collapsed="false">
      <c r="A101" s="8" t="s">
        <v>669</v>
      </c>
      <c r="B101" s="8" t="s">
        <v>670</v>
      </c>
      <c r="C101" s="9" t="s">
        <v>671</v>
      </c>
      <c r="D101" s="10" t="s">
        <v>672</v>
      </c>
      <c r="E101" s="10" t="s">
        <v>673</v>
      </c>
      <c r="F101" s="8" t="n">
        <f aca="false">LEN(E101)</f>
        <v>56</v>
      </c>
      <c r="G101" s="8" t="str">
        <f aca="false">IF(F101&lt;=60,"OK","Largo")</f>
        <v>OK</v>
      </c>
      <c r="H101" s="10" t="s">
        <v>674</v>
      </c>
      <c r="I101" s="8" t="n">
        <f aca="false">LEN(H101)</f>
        <v>143</v>
      </c>
      <c r="J101" s="8" t="str">
        <f aca="false">IF(AND(I101&gt;=120,I101&lt;=155),"OK",IF(I101&lt;120,"Corta","Larga"))</f>
        <v>OK</v>
      </c>
      <c r="K101" s="10" t="s">
        <v>675</v>
      </c>
      <c r="L101" s="9" t="s">
        <v>66</v>
      </c>
    </row>
    <row r="102" customFormat="false" ht="35.05" hidden="false" customHeight="false" outlineLevel="0" collapsed="false">
      <c r="A102" s="8" t="s">
        <v>676</v>
      </c>
      <c r="B102" s="8" t="s">
        <v>670</v>
      </c>
      <c r="C102" s="9" t="s">
        <v>677</v>
      </c>
      <c r="D102" s="10" t="s">
        <v>678</v>
      </c>
      <c r="E102" s="10" t="s">
        <v>679</v>
      </c>
      <c r="F102" s="8" t="n">
        <f aca="false">LEN(E102)</f>
        <v>53</v>
      </c>
      <c r="G102" s="8" t="str">
        <f aca="false">IF(F102&lt;=60,"OK","Largo")</f>
        <v>OK</v>
      </c>
      <c r="H102" s="10" t="s">
        <v>680</v>
      </c>
      <c r="I102" s="8" t="n">
        <f aca="false">LEN(H102)</f>
        <v>140</v>
      </c>
      <c r="J102" s="8" t="str">
        <f aca="false">IF(AND(I102&gt;=120,I102&lt;=155),"OK",IF(I102&lt;120,"Corta","Larga"))</f>
        <v>OK</v>
      </c>
      <c r="K102" s="10" t="s">
        <v>681</v>
      </c>
      <c r="L102" s="9" t="s">
        <v>66</v>
      </c>
    </row>
    <row r="103" customFormat="false" ht="35.05" hidden="false" customHeight="false" outlineLevel="0" collapsed="false">
      <c r="A103" s="8" t="s">
        <v>682</v>
      </c>
      <c r="B103" s="8" t="s">
        <v>670</v>
      </c>
      <c r="C103" s="9" t="s">
        <v>683</v>
      </c>
      <c r="D103" s="10" t="s">
        <v>684</v>
      </c>
      <c r="E103" s="10" t="s">
        <v>685</v>
      </c>
      <c r="F103" s="8" t="n">
        <f aca="false">LEN(E103)</f>
        <v>55</v>
      </c>
      <c r="G103" s="8" t="str">
        <f aca="false">IF(F103&lt;=60,"OK","Largo")</f>
        <v>OK</v>
      </c>
      <c r="H103" s="10" t="s">
        <v>686</v>
      </c>
      <c r="I103" s="8" t="n">
        <f aca="false">LEN(H103)</f>
        <v>142</v>
      </c>
      <c r="J103" s="8" t="str">
        <f aca="false">IF(AND(I103&gt;=120,I103&lt;=155),"OK",IF(I103&lt;120,"Corta","Larga"))</f>
        <v>OK</v>
      </c>
      <c r="K103" s="10" t="s">
        <v>687</v>
      </c>
      <c r="L103" s="9" t="s">
        <v>66</v>
      </c>
    </row>
    <row r="104" customFormat="false" ht="35.05" hidden="false" customHeight="false" outlineLevel="0" collapsed="false">
      <c r="A104" s="8" t="s">
        <v>688</v>
      </c>
      <c r="B104" s="8" t="s">
        <v>689</v>
      </c>
      <c r="C104" s="9" t="s">
        <v>690</v>
      </c>
      <c r="D104" s="10" t="s">
        <v>691</v>
      </c>
      <c r="E104" s="10" t="s">
        <v>692</v>
      </c>
      <c r="F104" s="8" t="n">
        <f aca="false">LEN(E104)</f>
        <v>59</v>
      </c>
      <c r="G104" s="8" t="str">
        <f aca="false">IF(F104&lt;=60,"OK","Largo")</f>
        <v>OK</v>
      </c>
      <c r="H104" s="10" t="s">
        <v>693</v>
      </c>
      <c r="I104" s="8" t="n">
        <f aca="false">LEN(H104)</f>
        <v>146</v>
      </c>
      <c r="J104" s="8" t="str">
        <f aca="false">IF(AND(I104&gt;=120,I104&lt;=155),"OK",IF(I104&lt;120,"Corta","Larga"))</f>
        <v>OK</v>
      </c>
      <c r="K104" s="10" t="s">
        <v>694</v>
      </c>
      <c r="L104" s="9" t="s">
        <v>66</v>
      </c>
    </row>
    <row r="105" customFormat="false" ht="35.05" hidden="false" customHeight="false" outlineLevel="0" collapsed="false">
      <c r="A105" s="8" t="s">
        <v>695</v>
      </c>
      <c r="B105" s="8" t="s">
        <v>689</v>
      </c>
      <c r="C105" s="9" t="s">
        <v>696</v>
      </c>
      <c r="D105" s="10" t="s">
        <v>697</v>
      </c>
      <c r="E105" s="10" t="s">
        <v>698</v>
      </c>
      <c r="F105" s="8" t="n">
        <f aca="false">LEN(E105)</f>
        <v>53</v>
      </c>
      <c r="G105" s="8" t="str">
        <f aca="false">IF(F105&lt;=60,"OK","Largo")</f>
        <v>OK</v>
      </c>
      <c r="H105" s="10" t="s">
        <v>699</v>
      </c>
      <c r="I105" s="8" t="n">
        <f aca="false">LEN(H105)</f>
        <v>149</v>
      </c>
      <c r="J105" s="8" t="str">
        <f aca="false">IF(AND(I105&gt;=120,I105&lt;=155),"OK",IF(I105&lt;120,"Corta","Larga"))</f>
        <v>OK</v>
      </c>
      <c r="K105" s="10" t="s">
        <v>700</v>
      </c>
      <c r="L105" s="9" t="s">
        <v>66</v>
      </c>
    </row>
    <row r="106" customFormat="false" ht="35.05" hidden="false" customHeight="false" outlineLevel="0" collapsed="false">
      <c r="A106" s="8" t="s">
        <v>701</v>
      </c>
      <c r="B106" s="8" t="s">
        <v>95</v>
      </c>
      <c r="C106" s="9" t="s">
        <v>702</v>
      </c>
      <c r="D106" s="10" t="s">
        <v>703</v>
      </c>
      <c r="E106" s="10" t="s">
        <v>704</v>
      </c>
      <c r="F106" s="8" t="n">
        <f aca="false">LEN(E106)</f>
        <v>38</v>
      </c>
      <c r="G106" s="8" t="str">
        <f aca="false">IF(F106&lt;=60,"OK","Largo")</f>
        <v>OK</v>
      </c>
      <c r="H106" s="10" t="s">
        <v>705</v>
      </c>
      <c r="I106" s="8" t="n">
        <f aca="false">LEN(H106)</f>
        <v>143</v>
      </c>
      <c r="J106" s="8" t="str">
        <f aca="false">IF(AND(I106&gt;=120,I106&lt;=155),"OK",IF(I106&lt;120,"Corta","Larga"))</f>
        <v>OK</v>
      </c>
      <c r="K106" s="10" t="s">
        <v>706</v>
      </c>
      <c r="L106" s="9"/>
    </row>
    <row r="107" customFormat="false" ht="35.05" hidden="false" customHeight="false" outlineLevel="0" collapsed="false">
      <c r="A107" s="8" t="s">
        <v>707</v>
      </c>
      <c r="B107" s="8" t="s">
        <v>153</v>
      </c>
      <c r="C107" s="9" t="s">
        <v>708</v>
      </c>
      <c r="D107" s="10" t="s">
        <v>709</v>
      </c>
      <c r="E107" s="10" t="s">
        <v>710</v>
      </c>
      <c r="F107" s="8" t="n">
        <f aca="false">LEN(E107)</f>
        <v>56</v>
      </c>
      <c r="G107" s="8" t="str">
        <f aca="false">IF(F107&lt;=60,"OK","Largo")</f>
        <v>OK</v>
      </c>
      <c r="H107" s="10" t="s">
        <v>711</v>
      </c>
      <c r="I107" s="8" t="n">
        <f aca="false">LEN(H107)</f>
        <v>143</v>
      </c>
      <c r="J107" s="8" t="str">
        <f aca="false">IF(AND(I107&gt;=120,I107&lt;=155),"OK",IF(I107&lt;120,"Corta","Larga"))</f>
        <v>OK</v>
      </c>
      <c r="K107" s="10" t="s">
        <v>712</v>
      </c>
      <c r="L107" s="9"/>
    </row>
    <row r="108" customFormat="false" ht="35.05" hidden="false" customHeight="false" outlineLevel="0" collapsed="false">
      <c r="A108" s="8" t="s">
        <v>713</v>
      </c>
      <c r="B108" s="8" t="s">
        <v>231</v>
      </c>
      <c r="C108" s="9" t="s">
        <v>714</v>
      </c>
      <c r="D108" s="10" t="s">
        <v>715</v>
      </c>
      <c r="E108" s="10" t="s">
        <v>716</v>
      </c>
      <c r="F108" s="8" t="n">
        <f aca="false">LEN(E108)</f>
        <v>34</v>
      </c>
      <c r="G108" s="8" t="str">
        <f aca="false">IF(F108&lt;=60,"OK","Largo")</f>
        <v>OK</v>
      </c>
      <c r="H108" s="10" t="s">
        <v>717</v>
      </c>
      <c r="I108" s="8" t="n">
        <f aca="false">LEN(H108)</f>
        <v>139</v>
      </c>
      <c r="J108" s="8" t="str">
        <f aca="false">IF(AND(I108&gt;=120,I108&lt;=155),"OK",IF(I108&lt;120,"Corta","Larga"))</f>
        <v>OK</v>
      </c>
      <c r="K108" s="10" t="s">
        <v>718</v>
      </c>
      <c r="L108" s="9"/>
    </row>
    <row r="109" customFormat="false" ht="35.05" hidden="false" customHeight="false" outlineLevel="0" collapsed="false">
      <c r="A109" s="8" t="s">
        <v>719</v>
      </c>
      <c r="B109" s="8" t="s">
        <v>317</v>
      </c>
      <c r="C109" s="9" t="s">
        <v>720</v>
      </c>
      <c r="D109" s="10" t="s">
        <v>721</v>
      </c>
      <c r="E109" s="10" t="s">
        <v>722</v>
      </c>
      <c r="F109" s="8" t="n">
        <f aca="false">LEN(E109)</f>
        <v>60</v>
      </c>
      <c r="G109" s="8" t="str">
        <f aca="false">IF(F109&lt;=60,"OK","Largo")</f>
        <v>OK</v>
      </c>
      <c r="H109" s="10" t="s">
        <v>723</v>
      </c>
      <c r="I109" s="8" t="n">
        <f aca="false">LEN(H109)</f>
        <v>147</v>
      </c>
      <c r="J109" s="8" t="str">
        <f aca="false">IF(AND(I109&gt;=120,I109&lt;=155),"OK",IF(I109&lt;120,"Corta","Larga"))</f>
        <v>OK</v>
      </c>
      <c r="K109" s="10" t="s">
        <v>724</v>
      </c>
      <c r="L109" s="9"/>
    </row>
    <row r="110" customFormat="false" ht="23.85" hidden="false" customHeight="false" outlineLevel="0" collapsed="false">
      <c r="A110" s="8" t="s">
        <v>725</v>
      </c>
      <c r="B110" s="8" t="s">
        <v>726</v>
      </c>
      <c r="C110" s="9" t="s">
        <v>727</v>
      </c>
      <c r="D110" s="10" t="s">
        <v>728</v>
      </c>
      <c r="E110" s="10" t="s">
        <v>728</v>
      </c>
      <c r="F110" s="8" t="n">
        <f aca="false">LEN(E110)</f>
        <v>50</v>
      </c>
      <c r="G110" s="8" t="str">
        <f aca="false">IF(F110&lt;=60,"OK","Largo")</f>
        <v>OK</v>
      </c>
      <c r="H110" s="10" t="s">
        <v>729</v>
      </c>
      <c r="I110" s="8" t="n">
        <f aca="false">LEN(H110)</f>
        <v>127</v>
      </c>
      <c r="J110" s="8" t="str">
        <f aca="false">IF(AND(I110&gt;=120,I110&lt;=155),"OK",IF(I110&lt;120,"Corta","Larga"))</f>
        <v>OK</v>
      </c>
      <c r="K110" s="10" t="s">
        <v>730</v>
      </c>
      <c r="L110" s="9"/>
    </row>
    <row r="111" customFormat="false" ht="35.05" hidden="false" customHeight="false" outlineLevel="0" collapsed="false">
      <c r="A111" s="8" t="s">
        <v>731</v>
      </c>
      <c r="B111" s="8" t="s">
        <v>366</v>
      </c>
      <c r="C111" s="9" t="s">
        <v>732</v>
      </c>
      <c r="D111" s="10" t="s">
        <v>733</v>
      </c>
      <c r="E111" s="10" t="s">
        <v>734</v>
      </c>
      <c r="F111" s="8" t="n">
        <f aca="false">LEN(E111)</f>
        <v>58</v>
      </c>
      <c r="G111" s="8" t="str">
        <f aca="false">IF(F111&lt;=60,"OK","Largo")</f>
        <v>OK</v>
      </c>
      <c r="H111" s="10" t="s">
        <v>735</v>
      </c>
      <c r="I111" s="8" t="n">
        <f aca="false">LEN(H111)</f>
        <v>145</v>
      </c>
      <c r="J111" s="8" t="str">
        <f aca="false">IF(AND(I111&gt;=120,I111&lt;=155),"OK",IF(I111&lt;120,"Corta","Larga"))</f>
        <v>OK</v>
      </c>
      <c r="K111" s="10" t="s">
        <v>736</v>
      </c>
      <c r="L111" s="9"/>
    </row>
    <row r="112" customFormat="false" ht="35.05" hidden="false" customHeight="false" outlineLevel="0" collapsed="false">
      <c r="A112" s="8" t="s">
        <v>737</v>
      </c>
      <c r="B112" s="8" t="s">
        <v>366</v>
      </c>
      <c r="C112" s="9" t="s">
        <v>738</v>
      </c>
      <c r="D112" s="10" t="s">
        <v>739</v>
      </c>
      <c r="E112" s="10" t="s">
        <v>740</v>
      </c>
      <c r="F112" s="8" t="n">
        <f aca="false">LEN(E112)</f>
        <v>59</v>
      </c>
      <c r="G112" s="8" t="str">
        <f aca="false">IF(F112&lt;=60,"OK","Largo")</f>
        <v>OK</v>
      </c>
      <c r="H112" s="10" t="s">
        <v>741</v>
      </c>
      <c r="I112" s="8" t="n">
        <f aca="false">LEN(H112)</f>
        <v>155</v>
      </c>
      <c r="J112" s="8" t="str">
        <f aca="false">IF(AND(I112&gt;=120,I112&lt;=155),"OK",IF(I112&lt;120,"Corta","Larga"))</f>
        <v>OK</v>
      </c>
      <c r="K112" s="10" t="s">
        <v>742</v>
      </c>
      <c r="L112" s="9"/>
    </row>
    <row r="113" customFormat="false" ht="35.05" hidden="false" customHeight="false" outlineLevel="0" collapsed="false">
      <c r="A113" s="8" t="s">
        <v>743</v>
      </c>
      <c r="B113" s="8" t="s">
        <v>744</v>
      </c>
      <c r="C113" s="9" t="s">
        <v>745</v>
      </c>
      <c r="D113" s="10" t="s">
        <v>745</v>
      </c>
      <c r="E113" s="10" t="s">
        <v>746</v>
      </c>
      <c r="F113" s="8" t="n">
        <f aca="false">LEN(E113)</f>
        <v>42</v>
      </c>
      <c r="G113" s="8" t="str">
        <f aca="false">IF(F113&lt;=60,"OK","Largo")</f>
        <v>OK</v>
      </c>
      <c r="H113" s="10" t="s">
        <v>747</v>
      </c>
      <c r="I113" s="8" t="n">
        <f aca="false">LEN(H113)</f>
        <v>147</v>
      </c>
      <c r="J113" s="8" t="str">
        <f aca="false">IF(AND(I113&gt;=120,I113&lt;=155),"OK",IF(I113&lt;120,"Corta","Larga"))</f>
        <v>OK</v>
      </c>
      <c r="K113" s="10" t="s">
        <v>748</v>
      </c>
      <c r="L113" s="9"/>
    </row>
    <row r="114" customFormat="false" ht="35.05" hidden="false" customHeight="false" outlineLevel="0" collapsed="false">
      <c r="A114" s="8" t="s">
        <v>749</v>
      </c>
      <c r="B114" s="8" t="s">
        <v>68</v>
      </c>
      <c r="C114" s="9" t="s">
        <v>750</v>
      </c>
      <c r="D114" s="10" t="s">
        <v>751</v>
      </c>
      <c r="E114" s="10" t="s">
        <v>752</v>
      </c>
      <c r="F114" s="8" t="n">
        <f aca="false">LEN(E114)</f>
        <v>54</v>
      </c>
      <c r="G114" s="8" t="str">
        <f aca="false">IF(F114&lt;=60,"OK","Largo")</f>
        <v>OK</v>
      </c>
      <c r="H114" s="10" t="s">
        <v>753</v>
      </c>
      <c r="I114" s="8" t="n">
        <f aca="false">LEN(H114)</f>
        <v>150</v>
      </c>
      <c r="J114" s="8" t="str">
        <f aca="false">IF(AND(I114&gt;=120,I114&lt;=155),"OK",IF(I114&lt;120,"Corta","Larga"))</f>
        <v>OK</v>
      </c>
      <c r="K114" s="10" t="s">
        <v>754</v>
      </c>
      <c r="L114" s="9" t="s">
        <v>755</v>
      </c>
    </row>
    <row r="115" customFormat="false" ht="35.05" hidden="false" customHeight="false" outlineLevel="0" collapsed="false">
      <c r="A115" s="8" t="s">
        <v>756</v>
      </c>
      <c r="B115" s="8" t="s">
        <v>68</v>
      </c>
      <c r="C115" s="9" t="s">
        <v>757</v>
      </c>
      <c r="D115" s="10" t="s">
        <v>758</v>
      </c>
      <c r="E115" s="10" t="s">
        <v>759</v>
      </c>
      <c r="F115" s="8" t="n">
        <f aca="false">LEN(E115)</f>
        <v>56</v>
      </c>
      <c r="G115" s="8" t="str">
        <f aca="false">IF(F115&lt;=60,"OK","Largo")</f>
        <v>OK</v>
      </c>
      <c r="H115" s="10" t="s">
        <v>760</v>
      </c>
      <c r="I115" s="8" t="n">
        <f aca="false">LEN(H115)</f>
        <v>152</v>
      </c>
      <c r="J115" s="8" t="str">
        <f aca="false">IF(AND(I115&gt;=120,I115&lt;=155),"OK",IF(I115&lt;120,"Corta","Larga"))</f>
        <v>OK</v>
      </c>
      <c r="K115" s="10" t="s">
        <v>761</v>
      </c>
      <c r="L115" s="9" t="s">
        <v>755</v>
      </c>
    </row>
    <row r="116" customFormat="false" ht="35.05" hidden="false" customHeight="false" outlineLevel="0" collapsed="false">
      <c r="A116" s="8" t="s">
        <v>762</v>
      </c>
      <c r="B116" s="8" t="s">
        <v>68</v>
      </c>
      <c r="C116" s="9" t="s">
        <v>763</v>
      </c>
      <c r="D116" s="10" t="s">
        <v>764</v>
      </c>
      <c r="E116" s="10" t="s">
        <v>765</v>
      </c>
      <c r="F116" s="8" t="n">
        <f aca="false">LEN(E116)</f>
        <v>52</v>
      </c>
      <c r="G116" s="8" t="str">
        <f aca="false">IF(F116&lt;=60,"OK","Largo")</f>
        <v>OK</v>
      </c>
      <c r="H116" s="10" t="s">
        <v>766</v>
      </c>
      <c r="I116" s="8" t="n">
        <f aca="false">LEN(H116)</f>
        <v>148</v>
      </c>
      <c r="J116" s="8" t="str">
        <f aca="false">IF(AND(I116&gt;=120,I116&lt;=155),"OK",IF(I116&lt;120,"Corta","Larga"))</f>
        <v>OK</v>
      </c>
      <c r="K116" s="10" t="s">
        <v>767</v>
      </c>
      <c r="L116" s="9" t="s">
        <v>755</v>
      </c>
    </row>
    <row r="117" customFormat="false" ht="35.05" hidden="false" customHeight="false" outlineLevel="0" collapsed="false">
      <c r="A117" s="8" t="s">
        <v>768</v>
      </c>
      <c r="B117" s="8" t="s">
        <v>68</v>
      </c>
      <c r="C117" s="9" t="s">
        <v>769</v>
      </c>
      <c r="D117" s="10" t="s">
        <v>770</v>
      </c>
      <c r="E117" s="10" t="s">
        <v>771</v>
      </c>
      <c r="F117" s="8" t="n">
        <f aca="false">LEN(E117)</f>
        <v>52</v>
      </c>
      <c r="G117" s="8" t="str">
        <f aca="false">IF(F117&lt;=60,"OK","Largo")</f>
        <v>OK</v>
      </c>
      <c r="H117" s="10" t="s">
        <v>772</v>
      </c>
      <c r="I117" s="8" t="n">
        <f aca="false">LEN(H117)</f>
        <v>148</v>
      </c>
      <c r="J117" s="8" t="str">
        <f aca="false">IF(AND(I117&gt;=120,I117&lt;=155),"OK",IF(I117&lt;120,"Corta","Larga"))</f>
        <v>OK</v>
      </c>
      <c r="K117" s="10" t="s">
        <v>773</v>
      </c>
      <c r="L117" s="9" t="s">
        <v>755</v>
      </c>
    </row>
    <row r="118" customFormat="false" ht="35.05" hidden="false" customHeight="false" outlineLevel="0" collapsed="false">
      <c r="A118" s="8" t="s">
        <v>774</v>
      </c>
      <c r="B118" s="8" t="s">
        <v>68</v>
      </c>
      <c r="C118" s="9" t="s">
        <v>775</v>
      </c>
      <c r="D118" s="10" t="s">
        <v>776</v>
      </c>
      <c r="E118" s="10" t="s">
        <v>777</v>
      </c>
      <c r="F118" s="8" t="n">
        <f aca="false">LEN(E118)</f>
        <v>52</v>
      </c>
      <c r="G118" s="8" t="str">
        <f aca="false">IF(F118&lt;=60,"OK","Largo")</f>
        <v>OK</v>
      </c>
      <c r="H118" s="10" t="s">
        <v>778</v>
      </c>
      <c r="I118" s="8" t="n">
        <f aca="false">LEN(H118)</f>
        <v>148</v>
      </c>
      <c r="J118" s="8" t="str">
        <f aca="false">IF(AND(I118&gt;=120,I118&lt;=155),"OK",IF(I118&lt;120,"Corta","Larga"))</f>
        <v>OK</v>
      </c>
      <c r="K118" s="10" t="s">
        <v>779</v>
      </c>
      <c r="L118" s="9" t="s">
        <v>755</v>
      </c>
    </row>
    <row r="119" customFormat="false" ht="35.05" hidden="false" customHeight="false" outlineLevel="0" collapsed="false">
      <c r="A119" s="8" t="s">
        <v>780</v>
      </c>
      <c r="B119" s="8" t="s">
        <v>781</v>
      </c>
      <c r="C119" s="9" t="s">
        <v>782</v>
      </c>
      <c r="D119" s="10" t="s">
        <v>783</v>
      </c>
      <c r="E119" s="10" t="s">
        <v>784</v>
      </c>
      <c r="F119" s="8" t="n">
        <f aca="false">LEN(E119)</f>
        <v>52</v>
      </c>
      <c r="G119" s="8" t="str">
        <f aca="false">IF(F119&lt;=60,"OK","Largo")</f>
        <v>OK</v>
      </c>
      <c r="H119" s="10" t="s">
        <v>785</v>
      </c>
      <c r="I119" s="8" t="n">
        <f aca="false">LEN(H119)</f>
        <v>139</v>
      </c>
      <c r="J119" s="8" t="str">
        <f aca="false">IF(AND(I119&gt;=120,I119&lt;=155),"OK",IF(I119&lt;120,"Corta","Larga"))</f>
        <v>OK</v>
      </c>
      <c r="K119" s="10" t="s">
        <v>786</v>
      </c>
      <c r="L119" s="9"/>
    </row>
    <row r="120" customFormat="false" ht="23.85" hidden="false" customHeight="false" outlineLevel="0" collapsed="false">
      <c r="A120" s="8" t="s">
        <v>787</v>
      </c>
      <c r="B120" s="8" t="s">
        <v>566</v>
      </c>
      <c r="C120" s="9" t="s">
        <v>788</v>
      </c>
      <c r="D120" s="10" t="s">
        <v>789</v>
      </c>
      <c r="E120" s="10" t="s">
        <v>789</v>
      </c>
      <c r="F120" s="8" t="n">
        <f aca="false">LEN(E120)</f>
        <v>48</v>
      </c>
      <c r="G120" s="8" t="str">
        <f aca="false">IF(F120&lt;=60,"OK","Largo")</f>
        <v>OK</v>
      </c>
      <c r="H120" s="10" t="s">
        <v>790</v>
      </c>
      <c r="I120" s="8" t="n">
        <f aca="false">LEN(H120)</f>
        <v>125</v>
      </c>
      <c r="J120" s="8" t="str">
        <f aca="false">IF(AND(I120&gt;=120,I120&lt;=155),"OK",IF(I120&lt;120,"Corta","Larga"))</f>
        <v>OK</v>
      </c>
      <c r="K120" s="10" t="s">
        <v>791</v>
      </c>
      <c r="L120" s="9"/>
    </row>
    <row r="121" customFormat="false" ht="23.85" hidden="false" customHeight="false" outlineLevel="0" collapsed="false">
      <c r="A121" s="8" t="s">
        <v>792</v>
      </c>
      <c r="B121" s="8" t="s">
        <v>566</v>
      </c>
      <c r="C121" s="9" t="s">
        <v>793</v>
      </c>
      <c r="D121" s="10" t="s">
        <v>794</v>
      </c>
      <c r="E121" s="10" t="s">
        <v>794</v>
      </c>
      <c r="F121" s="8" t="n">
        <f aca="false">LEN(E121)</f>
        <v>53</v>
      </c>
      <c r="G121" s="8" t="str">
        <f aca="false">IF(F121&lt;=60,"OK","Largo")</f>
        <v>OK</v>
      </c>
      <c r="H121" s="10" t="s">
        <v>795</v>
      </c>
      <c r="I121" s="8" t="n">
        <f aca="false">LEN(H121)</f>
        <v>130</v>
      </c>
      <c r="J121" s="8" t="str">
        <f aca="false">IF(AND(I121&gt;=120,I121&lt;=155),"OK",IF(I121&lt;120,"Corta","Larga"))</f>
        <v>OK</v>
      </c>
      <c r="K121" s="10" t="s">
        <v>796</v>
      </c>
      <c r="L121" s="9"/>
    </row>
    <row r="122" customFormat="false" ht="35.05" hidden="false" customHeight="false" outlineLevel="0" collapsed="false">
      <c r="A122" s="8" t="s">
        <v>797</v>
      </c>
      <c r="B122" s="8" t="s">
        <v>566</v>
      </c>
      <c r="C122" s="9" t="s">
        <v>798</v>
      </c>
      <c r="D122" s="10" t="s">
        <v>799</v>
      </c>
      <c r="E122" s="10" t="s">
        <v>800</v>
      </c>
      <c r="F122" s="8" t="n">
        <f aca="false">LEN(E122)</f>
        <v>58</v>
      </c>
      <c r="G122" s="8" t="str">
        <f aca="false">IF(F122&lt;=60,"OK","Largo")</f>
        <v>OK</v>
      </c>
      <c r="H122" s="10" t="s">
        <v>801</v>
      </c>
      <c r="I122" s="8" t="n">
        <f aca="false">LEN(H122)</f>
        <v>145</v>
      </c>
      <c r="J122" s="8" t="str">
        <f aca="false">IF(AND(I122&gt;=120,I122&lt;=155),"OK",IF(I122&lt;120,"Corta","Larga"))</f>
        <v>OK</v>
      </c>
      <c r="K122" s="10" t="s">
        <v>802</v>
      </c>
      <c r="L122" s="9"/>
    </row>
    <row r="123" customFormat="false" ht="35.05" hidden="false" customHeight="false" outlineLevel="0" collapsed="false">
      <c r="A123" s="8" t="s">
        <v>803</v>
      </c>
      <c r="B123" s="8" t="s">
        <v>566</v>
      </c>
      <c r="C123" s="9" t="s">
        <v>804</v>
      </c>
      <c r="D123" s="10" t="s">
        <v>805</v>
      </c>
      <c r="E123" s="10" t="s">
        <v>806</v>
      </c>
      <c r="F123" s="8" t="n">
        <f aca="false">LEN(E123)</f>
        <v>59</v>
      </c>
      <c r="G123" s="8" t="str">
        <f aca="false">IF(F123&lt;=60,"OK","Largo")</f>
        <v>OK</v>
      </c>
      <c r="H123" s="10" t="s">
        <v>807</v>
      </c>
      <c r="I123" s="8" t="n">
        <f aca="false">LEN(H123)</f>
        <v>146</v>
      </c>
      <c r="J123" s="8" t="str">
        <f aca="false">IF(AND(I123&gt;=120,I123&lt;=155),"OK",IF(I123&lt;120,"Corta","Larga"))</f>
        <v>OK</v>
      </c>
      <c r="K123" s="10" t="s">
        <v>808</v>
      </c>
      <c r="L123" s="9"/>
    </row>
    <row r="124" customFormat="false" ht="35.05" hidden="false" customHeight="false" outlineLevel="0" collapsed="false">
      <c r="A124" s="8" t="s">
        <v>809</v>
      </c>
      <c r="B124" s="8" t="s">
        <v>810</v>
      </c>
      <c r="C124" s="9" t="s">
        <v>811</v>
      </c>
      <c r="D124" s="10" t="s">
        <v>812</v>
      </c>
      <c r="E124" s="10" t="s">
        <v>813</v>
      </c>
      <c r="F124" s="8" t="n">
        <f aca="false">LEN(E124)</f>
        <v>58</v>
      </c>
      <c r="G124" s="8" t="str">
        <f aca="false">IF(F124&lt;=60,"OK","Largo")</f>
        <v>OK</v>
      </c>
      <c r="H124" s="10" t="s">
        <v>814</v>
      </c>
      <c r="I124" s="8" t="n">
        <f aca="false">LEN(H124)</f>
        <v>145</v>
      </c>
      <c r="J124" s="8" t="str">
        <f aca="false">IF(AND(I124&gt;=120,I124&lt;=155),"OK",IF(I124&lt;120,"Corta","Larga"))</f>
        <v>OK</v>
      </c>
      <c r="K124" s="10" t="s">
        <v>815</v>
      </c>
      <c r="L124" s="9"/>
    </row>
    <row r="125" customFormat="false" ht="23.85" hidden="false" customHeight="false" outlineLevel="0" collapsed="false">
      <c r="A125" s="8" t="s">
        <v>816</v>
      </c>
      <c r="B125" s="8" t="s">
        <v>810</v>
      </c>
      <c r="C125" s="9" t="s">
        <v>817</v>
      </c>
      <c r="D125" s="10" t="s">
        <v>818</v>
      </c>
      <c r="E125" s="10" t="s">
        <v>819</v>
      </c>
      <c r="F125" s="8" t="n">
        <f aca="false">LEN(E125)</f>
        <v>60</v>
      </c>
      <c r="G125" s="8" t="str">
        <f aca="false">IF(F125&lt;=60,"OK","Largo")</f>
        <v>OK</v>
      </c>
      <c r="H125" s="10" t="s">
        <v>820</v>
      </c>
      <c r="I125" s="8" t="n">
        <f aca="false">LEN(H125)</f>
        <v>124</v>
      </c>
      <c r="J125" s="8" t="str">
        <f aca="false">IF(AND(I125&gt;=120,I125&lt;=155),"OK",IF(I125&lt;120,"Corta","Larga"))</f>
        <v>OK</v>
      </c>
      <c r="K125" s="10" t="s">
        <v>821</v>
      </c>
      <c r="L125" s="9"/>
    </row>
    <row r="126" customFormat="false" ht="35.05" hidden="false" customHeight="false" outlineLevel="0" collapsed="false">
      <c r="A126" s="8" t="s">
        <v>822</v>
      </c>
      <c r="B126" s="8" t="s">
        <v>810</v>
      </c>
      <c r="C126" s="9" t="s">
        <v>823</v>
      </c>
      <c r="D126" s="10" t="s">
        <v>824</v>
      </c>
      <c r="E126" s="10" t="s">
        <v>825</v>
      </c>
      <c r="F126" s="8" t="n">
        <f aca="false">LEN(E126)</f>
        <v>57</v>
      </c>
      <c r="G126" s="8" t="str">
        <f aca="false">IF(F126&lt;=60,"OK","Largo")</f>
        <v>OK</v>
      </c>
      <c r="H126" s="10" t="s">
        <v>826</v>
      </c>
      <c r="I126" s="8" t="n">
        <f aca="false">LEN(H126)</f>
        <v>153</v>
      </c>
      <c r="J126" s="8" t="str">
        <f aca="false">IF(AND(I126&gt;=120,I126&lt;=155),"OK",IF(I126&lt;120,"Corta","Larga"))</f>
        <v>OK</v>
      </c>
      <c r="K126" s="10" t="s">
        <v>827</v>
      </c>
      <c r="L126" s="9"/>
    </row>
    <row r="127" customFormat="false" ht="35.05" hidden="false" customHeight="false" outlineLevel="0" collapsed="false">
      <c r="A127" s="8" t="s">
        <v>828</v>
      </c>
      <c r="B127" s="8" t="s">
        <v>829</v>
      </c>
      <c r="C127" s="9" t="s">
        <v>830</v>
      </c>
      <c r="D127" s="10" t="s">
        <v>831</v>
      </c>
      <c r="E127" s="10" t="s">
        <v>832</v>
      </c>
      <c r="F127" s="8" t="n">
        <f aca="false">LEN(E127)</f>
        <v>52</v>
      </c>
      <c r="G127" s="8" t="str">
        <f aca="false">IF(F127&lt;=60,"OK","Largo")</f>
        <v>OK</v>
      </c>
      <c r="H127" s="10" t="s">
        <v>833</v>
      </c>
      <c r="I127" s="8" t="n">
        <f aca="false">LEN(H127)</f>
        <v>139</v>
      </c>
      <c r="J127" s="8" t="str">
        <f aca="false">IF(AND(I127&gt;=120,I127&lt;=155),"OK",IF(I127&lt;120,"Corta","Larga"))</f>
        <v>OK</v>
      </c>
      <c r="K127" s="10" t="s">
        <v>834</v>
      </c>
      <c r="L127" s="9" t="s">
        <v>755</v>
      </c>
    </row>
    <row r="128" customFormat="false" ht="35.05" hidden="false" customHeight="false" outlineLevel="0" collapsed="false">
      <c r="A128" s="8" t="s">
        <v>835</v>
      </c>
      <c r="B128" s="8" t="s">
        <v>829</v>
      </c>
      <c r="C128" s="9" t="s">
        <v>836</v>
      </c>
      <c r="D128" s="10" t="s">
        <v>837</v>
      </c>
      <c r="E128" s="10" t="s">
        <v>838</v>
      </c>
      <c r="F128" s="8" t="n">
        <f aca="false">LEN(E128)</f>
        <v>53</v>
      </c>
      <c r="G128" s="8" t="str">
        <f aca="false">IF(F128&lt;=60,"OK","Largo")</f>
        <v>OK</v>
      </c>
      <c r="H128" s="10" t="s">
        <v>839</v>
      </c>
      <c r="I128" s="8" t="n">
        <f aca="false">LEN(H128)</f>
        <v>140</v>
      </c>
      <c r="J128" s="8" t="str">
        <f aca="false">IF(AND(I128&gt;=120,I128&lt;=155),"OK",IF(I128&lt;120,"Corta","Larga"))</f>
        <v>OK</v>
      </c>
      <c r="K128" s="10" t="s">
        <v>840</v>
      </c>
      <c r="L128" s="9" t="s">
        <v>755</v>
      </c>
    </row>
    <row r="129" customFormat="false" ht="35.05" hidden="false" customHeight="false" outlineLevel="0" collapsed="false">
      <c r="A129" s="8" t="s">
        <v>841</v>
      </c>
      <c r="B129" s="8" t="s">
        <v>829</v>
      </c>
      <c r="C129" s="9" t="s">
        <v>842</v>
      </c>
      <c r="D129" s="10" t="s">
        <v>843</v>
      </c>
      <c r="E129" s="10" t="s">
        <v>844</v>
      </c>
      <c r="F129" s="8" t="n">
        <f aca="false">LEN(E129)</f>
        <v>58</v>
      </c>
      <c r="G129" s="8" t="str">
        <f aca="false">IF(F129&lt;=60,"OK","Largo")</f>
        <v>OK</v>
      </c>
      <c r="H129" s="10" t="s">
        <v>845</v>
      </c>
      <c r="I129" s="8" t="n">
        <f aca="false">LEN(H129)</f>
        <v>154</v>
      </c>
      <c r="J129" s="8" t="str">
        <f aca="false">IF(AND(I129&gt;=120,I129&lt;=155),"OK",IF(I129&lt;120,"Corta","Larga"))</f>
        <v>OK</v>
      </c>
      <c r="K129" s="10" t="s">
        <v>846</v>
      </c>
      <c r="L129" s="9" t="s">
        <v>755</v>
      </c>
    </row>
    <row r="130" customFormat="false" ht="35.05" hidden="false" customHeight="false" outlineLevel="0" collapsed="false">
      <c r="A130" s="8" t="s">
        <v>847</v>
      </c>
      <c r="B130" s="8" t="s">
        <v>829</v>
      </c>
      <c r="C130" s="9" t="s">
        <v>848</v>
      </c>
      <c r="D130" s="10" t="s">
        <v>849</v>
      </c>
      <c r="E130" s="10" t="s">
        <v>850</v>
      </c>
      <c r="F130" s="8" t="n">
        <f aca="false">LEN(E130)</f>
        <v>58</v>
      </c>
      <c r="G130" s="8" t="str">
        <f aca="false">IF(F130&lt;=60,"OK","Largo")</f>
        <v>OK</v>
      </c>
      <c r="H130" s="10" t="s">
        <v>851</v>
      </c>
      <c r="I130" s="8" t="n">
        <f aca="false">LEN(H130)</f>
        <v>154</v>
      </c>
      <c r="J130" s="8" t="str">
        <f aca="false">IF(AND(I130&gt;=120,I130&lt;=155),"OK",IF(I130&lt;120,"Corta","Larga"))</f>
        <v>OK</v>
      </c>
      <c r="K130" s="10" t="s">
        <v>852</v>
      </c>
      <c r="L130" s="9" t="s">
        <v>755</v>
      </c>
    </row>
    <row r="131" customFormat="false" ht="35.05" hidden="false" customHeight="false" outlineLevel="0" collapsed="false">
      <c r="A131" s="8" t="s">
        <v>853</v>
      </c>
      <c r="B131" s="8" t="s">
        <v>854</v>
      </c>
      <c r="C131" s="9" t="s">
        <v>855</v>
      </c>
      <c r="D131" s="10" t="s">
        <v>856</v>
      </c>
      <c r="E131" s="10" t="s">
        <v>857</v>
      </c>
      <c r="F131" s="8" t="n">
        <f aca="false">LEN(E131)</f>
        <v>57</v>
      </c>
      <c r="G131" s="8" t="str">
        <f aca="false">IF(F131&lt;=60,"OK","Largo")</f>
        <v>OK</v>
      </c>
      <c r="H131" s="10" t="s">
        <v>858</v>
      </c>
      <c r="I131" s="8" t="n">
        <f aca="false">LEN(H131)</f>
        <v>144</v>
      </c>
      <c r="J131" s="8" t="str">
        <f aca="false">IF(AND(I131&gt;=120,I131&lt;=155),"OK",IF(I131&lt;120,"Corta","Larga"))</f>
        <v>OK</v>
      </c>
      <c r="K131" s="10" t="s">
        <v>859</v>
      </c>
      <c r="L131" s="9" t="s">
        <v>755</v>
      </c>
    </row>
    <row r="132" customFormat="false" ht="35.05" hidden="false" customHeight="false" outlineLevel="0" collapsed="false">
      <c r="A132" s="8" t="s">
        <v>860</v>
      </c>
      <c r="B132" s="8" t="s">
        <v>854</v>
      </c>
      <c r="C132" s="9" t="s">
        <v>861</v>
      </c>
      <c r="D132" s="10" t="s">
        <v>862</v>
      </c>
      <c r="E132" s="10" t="s">
        <v>863</v>
      </c>
      <c r="F132" s="8" t="n">
        <f aca="false">LEN(E132)</f>
        <v>57</v>
      </c>
      <c r="G132" s="8" t="str">
        <f aca="false">IF(F132&lt;=60,"OK","Largo")</f>
        <v>OK</v>
      </c>
      <c r="H132" s="10" t="s">
        <v>864</v>
      </c>
      <c r="I132" s="8" t="n">
        <f aca="false">LEN(H132)</f>
        <v>144</v>
      </c>
      <c r="J132" s="8" t="str">
        <f aca="false">IF(AND(I132&gt;=120,I132&lt;=155),"OK",IF(I132&lt;120,"Corta","Larga"))</f>
        <v>OK</v>
      </c>
      <c r="K132" s="10" t="s">
        <v>865</v>
      </c>
      <c r="L132" s="9" t="s">
        <v>755</v>
      </c>
    </row>
    <row r="133" customFormat="false" ht="35.05" hidden="false" customHeight="false" outlineLevel="0" collapsed="false">
      <c r="A133" s="8" t="s">
        <v>866</v>
      </c>
      <c r="B133" s="8" t="s">
        <v>854</v>
      </c>
      <c r="C133" s="9" t="s">
        <v>867</v>
      </c>
      <c r="D133" s="10" t="s">
        <v>868</v>
      </c>
      <c r="E133" s="10" t="s">
        <v>869</v>
      </c>
      <c r="F133" s="8" t="n">
        <f aca="false">LEN(E133)</f>
        <v>54</v>
      </c>
      <c r="G133" s="8" t="str">
        <f aca="false">IF(F133&lt;=60,"OK","Largo")</f>
        <v>OK</v>
      </c>
      <c r="H133" s="10" t="s">
        <v>870</v>
      </c>
      <c r="I133" s="8" t="n">
        <f aca="false">LEN(H133)</f>
        <v>141</v>
      </c>
      <c r="J133" s="8" t="str">
        <f aca="false">IF(AND(I133&gt;=120,I133&lt;=155),"OK",IF(I133&lt;120,"Corta","Larga"))</f>
        <v>OK</v>
      </c>
      <c r="K133" s="10" t="s">
        <v>871</v>
      </c>
      <c r="L133" s="9" t="s">
        <v>755</v>
      </c>
    </row>
    <row r="134" customFormat="false" ht="35.05" hidden="false" customHeight="false" outlineLevel="0" collapsed="false">
      <c r="A134" s="8" t="s">
        <v>872</v>
      </c>
      <c r="B134" s="8" t="s">
        <v>854</v>
      </c>
      <c r="C134" s="9" t="s">
        <v>873</v>
      </c>
      <c r="D134" s="10" t="s">
        <v>874</v>
      </c>
      <c r="E134" s="10" t="s">
        <v>875</v>
      </c>
      <c r="F134" s="8" t="n">
        <f aca="false">LEN(E134)</f>
        <v>53</v>
      </c>
      <c r="G134" s="8" t="str">
        <f aca="false">IF(F134&lt;=60,"OK","Largo")</f>
        <v>OK</v>
      </c>
      <c r="H134" s="10" t="s">
        <v>876</v>
      </c>
      <c r="I134" s="8" t="n">
        <f aca="false">LEN(H134)</f>
        <v>140</v>
      </c>
      <c r="J134" s="8" t="str">
        <f aca="false">IF(AND(I134&gt;=120,I134&lt;=155),"OK",IF(I134&lt;120,"Corta","Larga"))</f>
        <v>OK</v>
      </c>
      <c r="K134" s="10" t="s">
        <v>877</v>
      </c>
      <c r="L134" s="9" t="s">
        <v>755</v>
      </c>
    </row>
    <row r="135" customFormat="false" ht="35.05" hidden="false" customHeight="false" outlineLevel="0" collapsed="false">
      <c r="A135" s="8" t="s">
        <v>878</v>
      </c>
      <c r="B135" s="8" t="s">
        <v>854</v>
      </c>
      <c r="C135" s="9" t="s">
        <v>879</v>
      </c>
      <c r="D135" s="10" t="s">
        <v>880</v>
      </c>
      <c r="E135" s="10" t="s">
        <v>881</v>
      </c>
      <c r="F135" s="8" t="n">
        <f aca="false">LEN(E135)</f>
        <v>53</v>
      </c>
      <c r="G135" s="8" t="str">
        <f aca="false">IF(F135&lt;=60,"OK","Largo")</f>
        <v>OK</v>
      </c>
      <c r="H135" s="10" t="s">
        <v>882</v>
      </c>
      <c r="I135" s="8" t="n">
        <f aca="false">LEN(H135)</f>
        <v>140</v>
      </c>
      <c r="J135" s="8" t="str">
        <f aca="false">IF(AND(I135&gt;=120,I135&lt;=155),"OK",IF(I135&lt;120,"Corta","Larga"))</f>
        <v>OK</v>
      </c>
      <c r="K135" s="10" t="s">
        <v>883</v>
      </c>
      <c r="L135" s="9" t="s">
        <v>755</v>
      </c>
    </row>
    <row r="136" customFormat="false" ht="35.05" hidden="false" customHeight="false" outlineLevel="0" collapsed="false">
      <c r="A136" s="8" t="s">
        <v>884</v>
      </c>
      <c r="B136" s="8" t="s">
        <v>854</v>
      </c>
      <c r="C136" s="9" t="s">
        <v>885</v>
      </c>
      <c r="D136" s="10" t="s">
        <v>886</v>
      </c>
      <c r="E136" s="10" t="s">
        <v>887</v>
      </c>
      <c r="F136" s="8" t="n">
        <f aca="false">LEN(E136)</f>
        <v>54</v>
      </c>
      <c r="G136" s="8" t="str">
        <f aca="false">IF(F136&lt;=60,"OK","Largo")</f>
        <v>OK</v>
      </c>
      <c r="H136" s="10" t="s">
        <v>888</v>
      </c>
      <c r="I136" s="8" t="n">
        <f aca="false">LEN(H136)</f>
        <v>141</v>
      </c>
      <c r="J136" s="8" t="str">
        <f aca="false">IF(AND(I136&gt;=120,I136&lt;=155),"OK",IF(I136&lt;120,"Corta","Larga"))</f>
        <v>OK</v>
      </c>
      <c r="K136" s="10" t="s">
        <v>889</v>
      </c>
      <c r="L136" s="9" t="s">
        <v>755</v>
      </c>
    </row>
    <row r="137" customFormat="false" ht="35.05" hidden="false" customHeight="false" outlineLevel="0" collapsed="false">
      <c r="A137" s="8" t="s">
        <v>890</v>
      </c>
      <c r="B137" s="8" t="s">
        <v>854</v>
      </c>
      <c r="C137" s="9" t="s">
        <v>891</v>
      </c>
      <c r="D137" s="10" t="s">
        <v>892</v>
      </c>
      <c r="E137" s="10" t="s">
        <v>893</v>
      </c>
      <c r="F137" s="8" t="n">
        <f aca="false">LEN(E137)</f>
        <v>56</v>
      </c>
      <c r="G137" s="8" t="str">
        <f aca="false">IF(F137&lt;=60,"OK","Largo")</f>
        <v>OK</v>
      </c>
      <c r="H137" s="10" t="s">
        <v>894</v>
      </c>
      <c r="I137" s="8" t="n">
        <f aca="false">LEN(H137)</f>
        <v>152</v>
      </c>
      <c r="J137" s="8" t="str">
        <f aca="false">IF(AND(I137&gt;=120,I137&lt;=155),"OK",IF(I137&lt;120,"Corta","Larga"))</f>
        <v>OK</v>
      </c>
      <c r="K137" s="10" t="s">
        <v>895</v>
      </c>
      <c r="L137" s="9" t="s">
        <v>755</v>
      </c>
    </row>
    <row r="138" customFormat="false" ht="23.85" hidden="false" customHeight="false" outlineLevel="0" collapsed="false">
      <c r="A138" s="8" t="s">
        <v>896</v>
      </c>
      <c r="B138" s="8" t="s">
        <v>897</v>
      </c>
      <c r="C138" s="9" t="s">
        <v>898</v>
      </c>
      <c r="D138" s="10" t="s">
        <v>899</v>
      </c>
      <c r="E138" s="10" t="s">
        <v>899</v>
      </c>
      <c r="F138" s="8" t="n">
        <f aca="false">LEN(E138)</f>
        <v>52</v>
      </c>
      <c r="G138" s="8" t="str">
        <f aca="false">IF(F138&lt;=60,"OK","Largo")</f>
        <v>OK</v>
      </c>
      <c r="H138" s="10" t="s">
        <v>900</v>
      </c>
      <c r="I138" s="8" t="n">
        <f aca="false">LEN(H138)</f>
        <v>129</v>
      </c>
      <c r="J138" s="8" t="str">
        <f aca="false">IF(AND(I138&gt;=120,I138&lt;=155),"OK",IF(I138&lt;120,"Corta","Larga"))</f>
        <v>OK</v>
      </c>
      <c r="K138" s="10" t="s">
        <v>901</v>
      </c>
      <c r="L138" s="9" t="s">
        <v>755</v>
      </c>
    </row>
    <row r="139" customFormat="false" ht="23.85" hidden="false" customHeight="false" outlineLevel="0" collapsed="false">
      <c r="A139" s="8" t="s">
        <v>902</v>
      </c>
      <c r="B139" s="8" t="s">
        <v>897</v>
      </c>
      <c r="C139" s="9" t="s">
        <v>903</v>
      </c>
      <c r="D139" s="10" t="s">
        <v>904</v>
      </c>
      <c r="E139" s="10" t="s">
        <v>904</v>
      </c>
      <c r="F139" s="8" t="n">
        <f aca="false">LEN(E139)</f>
        <v>50</v>
      </c>
      <c r="G139" s="8" t="str">
        <f aca="false">IF(F139&lt;=60,"OK","Largo")</f>
        <v>OK</v>
      </c>
      <c r="H139" s="10" t="s">
        <v>905</v>
      </c>
      <c r="I139" s="8" t="n">
        <f aca="false">LEN(H139)</f>
        <v>127</v>
      </c>
      <c r="J139" s="8" t="str">
        <f aca="false">IF(AND(I139&gt;=120,I139&lt;=155),"OK",IF(I139&lt;120,"Corta","Larga"))</f>
        <v>OK</v>
      </c>
      <c r="K139" s="10" t="s">
        <v>906</v>
      </c>
      <c r="L139" s="9" t="s">
        <v>755</v>
      </c>
    </row>
    <row r="140" customFormat="false" ht="35.05" hidden="false" customHeight="false" outlineLevel="0" collapsed="false">
      <c r="A140" s="8" t="s">
        <v>907</v>
      </c>
      <c r="B140" s="8" t="s">
        <v>897</v>
      </c>
      <c r="C140" s="9" t="s">
        <v>908</v>
      </c>
      <c r="D140" s="10" t="s">
        <v>909</v>
      </c>
      <c r="E140" s="10" t="s">
        <v>910</v>
      </c>
      <c r="F140" s="8" t="n">
        <f aca="false">LEN(E140)</f>
        <v>59</v>
      </c>
      <c r="G140" s="8" t="str">
        <f aca="false">IF(F140&lt;=60,"OK","Largo")</f>
        <v>OK</v>
      </c>
      <c r="H140" s="10" t="s">
        <v>911</v>
      </c>
      <c r="I140" s="8" t="n">
        <f aca="false">LEN(H140)</f>
        <v>146</v>
      </c>
      <c r="J140" s="8" t="str">
        <f aca="false">IF(AND(I140&gt;=120,I140&lt;=155),"OK",IF(I140&lt;120,"Corta","Larga"))</f>
        <v>OK</v>
      </c>
      <c r="K140" s="10" t="s">
        <v>912</v>
      </c>
      <c r="L140" s="9" t="s">
        <v>755</v>
      </c>
    </row>
    <row r="141" customFormat="false" ht="35.05" hidden="false" customHeight="false" outlineLevel="0" collapsed="false">
      <c r="A141" s="8" t="s">
        <v>913</v>
      </c>
      <c r="B141" s="8" t="s">
        <v>897</v>
      </c>
      <c r="C141" s="9" t="s">
        <v>914</v>
      </c>
      <c r="D141" s="10" t="s">
        <v>915</v>
      </c>
      <c r="E141" s="10" t="s">
        <v>916</v>
      </c>
      <c r="F141" s="8" t="n">
        <f aca="false">LEN(E141)</f>
        <v>59</v>
      </c>
      <c r="G141" s="8" t="str">
        <f aca="false">IF(F141&lt;=60,"OK","Largo")</f>
        <v>OK</v>
      </c>
      <c r="H141" s="10" t="s">
        <v>917</v>
      </c>
      <c r="I141" s="8" t="n">
        <f aca="false">LEN(H141)</f>
        <v>146</v>
      </c>
      <c r="J141" s="8" t="str">
        <f aca="false">IF(AND(I141&gt;=120,I141&lt;=155),"OK",IF(I141&lt;120,"Corta","Larga"))</f>
        <v>OK</v>
      </c>
      <c r="K141" s="10" t="s">
        <v>918</v>
      </c>
      <c r="L141" s="9" t="s">
        <v>755</v>
      </c>
    </row>
    <row r="142" customFormat="false" ht="35.05" hidden="false" customHeight="false" outlineLevel="0" collapsed="false">
      <c r="A142" s="8" t="s">
        <v>919</v>
      </c>
      <c r="B142" s="8" t="s">
        <v>897</v>
      </c>
      <c r="C142" s="9" t="s">
        <v>920</v>
      </c>
      <c r="D142" s="10" t="s">
        <v>921</v>
      </c>
      <c r="E142" s="10" t="s">
        <v>922</v>
      </c>
      <c r="F142" s="8" t="n">
        <f aca="false">LEN(E142)</f>
        <v>47</v>
      </c>
      <c r="G142" s="8" t="str">
        <f aca="false">IF(F142&lt;=60,"OK","Largo")</f>
        <v>OK</v>
      </c>
      <c r="H142" s="10" t="s">
        <v>923</v>
      </c>
      <c r="I142" s="8" t="n">
        <f aca="false">LEN(H142)</f>
        <v>152</v>
      </c>
      <c r="J142" s="8" t="str">
        <f aca="false">IF(AND(I142&gt;=120,I142&lt;=155),"OK",IF(I142&lt;120,"Corta","Larga"))</f>
        <v>OK</v>
      </c>
      <c r="K142" s="10" t="s">
        <v>924</v>
      </c>
      <c r="L142" s="9" t="s">
        <v>755</v>
      </c>
    </row>
    <row r="143" customFormat="false" ht="35.05" hidden="false" customHeight="false" outlineLevel="0" collapsed="false">
      <c r="A143" s="8" t="s">
        <v>925</v>
      </c>
      <c r="B143" s="8" t="s">
        <v>897</v>
      </c>
      <c r="C143" s="9" t="s">
        <v>926</v>
      </c>
      <c r="D143" s="10" t="s">
        <v>927</v>
      </c>
      <c r="E143" s="10" t="s">
        <v>928</v>
      </c>
      <c r="F143" s="8" t="n">
        <f aca="false">LEN(E143)</f>
        <v>47</v>
      </c>
      <c r="G143" s="8" t="str">
        <f aca="false">IF(F143&lt;=60,"OK","Largo")</f>
        <v>OK</v>
      </c>
      <c r="H143" s="10" t="s">
        <v>929</v>
      </c>
      <c r="I143" s="8" t="n">
        <f aca="false">LEN(H143)</f>
        <v>152</v>
      </c>
      <c r="J143" s="8" t="str">
        <f aca="false">IF(AND(I143&gt;=120,I143&lt;=155),"OK",IF(I143&lt;120,"Corta","Larga"))</f>
        <v>OK</v>
      </c>
      <c r="K143" s="10" t="s">
        <v>930</v>
      </c>
      <c r="L143" s="9" t="s">
        <v>755</v>
      </c>
    </row>
    <row r="144" customFormat="false" ht="35.05" hidden="false" customHeight="false" outlineLevel="0" collapsed="false">
      <c r="A144" s="8" t="s">
        <v>931</v>
      </c>
      <c r="B144" s="8" t="s">
        <v>897</v>
      </c>
      <c r="C144" s="9" t="s">
        <v>932</v>
      </c>
      <c r="D144" s="10" t="s">
        <v>933</v>
      </c>
      <c r="E144" s="10" t="s">
        <v>934</v>
      </c>
      <c r="F144" s="8" t="n">
        <f aca="false">LEN(E144)</f>
        <v>48</v>
      </c>
      <c r="G144" s="8" t="str">
        <f aca="false">IF(F144&lt;=60,"OK","Largo")</f>
        <v>OK</v>
      </c>
      <c r="H144" s="10" t="s">
        <v>935</v>
      </c>
      <c r="I144" s="8" t="n">
        <f aca="false">LEN(H144)</f>
        <v>153</v>
      </c>
      <c r="J144" s="8" t="str">
        <f aca="false">IF(AND(I144&gt;=120,I144&lt;=155),"OK",IF(I144&lt;120,"Corta","Larga"))</f>
        <v>OK</v>
      </c>
      <c r="K144" s="10" t="s">
        <v>936</v>
      </c>
      <c r="L144" s="9" t="s">
        <v>937</v>
      </c>
    </row>
    <row r="145" customFormat="false" ht="35.05" hidden="false" customHeight="false" outlineLevel="0" collapsed="false">
      <c r="A145" s="8" t="s">
        <v>938</v>
      </c>
      <c r="B145" s="8" t="s">
        <v>897</v>
      </c>
      <c r="C145" s="9" t="s">
        <v>939</v>
      </c>
      <c r="D145" s="10" t="s">
        <v>940</v>
      </c>
      <c r="E145" s="10" t="s">
        <v>941</v>
      </c>
      <c r="F145" s="8" t="n">
        <f aca="false">LEN(E145)</f>
        <v>56</v>
      </c>
      <c r="G145" s="8" t="str">
        <f aca="false">IF(F145&lt;=60,"OK","Largo")</f>
        <v>OK</v>
      </c>
      <c r="H145" s="10" t="s">
        <v>942</v>
      </c>
      <c r="I145" s="8" t="n">
        <f aca="false">LEN(H145)</f>
        <v>143</v>
      </c>
      <c r="J145" s="8" t="str">
        <f aca="false">IF(AND(I145&gt;=120,I145&lt;=155),"OK",IF(I145&lt;120,"Corta","Larga"))</f>
        <v>OK</v>
      </c>
      <c r="K145" s="10" t="s">
        <v>943</v>
      </c>
      <c r="L145" s="9" t="s">
        <v>937</v>
      </c>
    </row>
    <row r="146" customFormat="false" ht="35.05" hidden="false" customHeight="false" outlineLevel="0" collapsed="false">
      <c r="A146" s="8" t="s">
        <v>944</v>
      </c>
      <c r="B146" s="8" t="s">
        <v>897</v>
      </c>
      <c r="C146" s="9" t="s">
        <v>945</v>
      </c>
      <c r="D146" s="10" t="s">
        <v>946</v>
      </c>
      <c r="E146" s="10" t="s">
        <v>947</v>
      </c>
      <c r="F146" s="8" t="n">
        <f aca="false">LEN(E146)</f>
        <v>57</v>
      </c>
      <c r="G146" s="8" t="str">
        <f aca="false">IF(F146&lt;=60,"OK","Largo")</f>
        <v>OK</v>
      </c>
      <c r="H146" s="10" t="s">
        <v>948</v>
      </c>
      <c r="I146" s="8" t="n">
        <f aca="false">LEN(H146)</f>
        <v>144</v>
      </c>
      <c r="J146" s="8" t="str">
        <f aca="false">IF(AND(I146&gt;=120,I146&lt;=155),"OK",IF(I146&lt;120,"Corta","Larga"))</f>
        <v>OK</v>
      </c>
      <c r="K146" s="10" t="s">
        <v>949</v>
      </c>
      <c r="L146" s="9" t="s">
        <v>937</v>
      </c>
    </row>
    <row r="147" customFormat="false" ht="35.05" hidden="false" customHeight="false" outlineLevel="0" collapsed="false">
      <c r="A147" s="8" t="s">
        <v>950</v>
      </c>
      <c r="B147" s="8" t="s">
        <v>897</v>
      </c>
      <c r="C147" s="9" t="s">
        <v>951</v>
      </c>
      <c r="D147" s="10" t="s">
        <v>952</v>
      </c>
      <c r="E147" s="10" t="s">
        <v>953</v>
      </c>
      <c r="F147" s="8" t="n">
        <f aca="false">LEN(E147)</f>
        <v>60</v>
      </c>
      <c r="G147" s="8" t="str">
        <f aca="false">IF(F147&lt;=60,"OK","Largo")</f>
        <v>OK</v>
      </c>
      <c r="H147" s="10" t="s">
        <v>954</v>
      </c>
      <c r="I147" s="8" t="n">
        <f aca="false">LEN(H147)</f>
        <v>147</v>
      </c>
      <c r="J147" s="8" t="str">
        <f aca="false">IF(AND(I147&gt;=120,I147&lt;=155),"OK",IF(I147&lt;120,"Corta","Larga"))</f>
        <v>OK</v>
      </c>
      <c r="K147" s="10" t="s">
        <v>955</v>
      </c>
      <c r="L147" s="9" t="s">
        <v>937</v>
      </c>
    </row>
    <row r="148" customFormat="false" ht="23.85" hidden="false" customHeight="false" outlineLevel="0" collapsed="false">
      <c r="A148" s="8" t="s">
        <v>956</v>
      </c>
      <c r="B148" s="8" t="s">
        <v>897</v>
      </c>
      <c r="C148" s="9" t="s">
        <v>957</v>
      </c>
      <c r="D148" s="10" t="s">
        <v>958</v>
      </c>
      <c r="E148" s="10" t="s">
        <v>958</v>
      </c>
      <c r="F148" s="8" t="n">
        <f aca="false">LEN(E148)</f>
        <v>53</v>
      </c>
      <c r="G148" s="8" t="str">
        <f aca="false">IF(F148&lt;=60,"OK","Largo")</f>
        <v>OK</v>
      </c>
      <c r="H148" s="10" t="s">
        <v>959</v>
      </c>
      <c r="I148" s="8" t="n">
        <f aca="false">LEN(H148)</f>
        <v>130</v>
      </c>
      <c r="J148" s="8" t="str">
        <f aca="false">IF(AND(I148&gt;=120,I148&lt;=155),"OK",IF(I148&lt;120,"Corta","Larga"))</f>
        <v>OK</v>
      </c>
      <c r="K148" s="10" t="s">
        <v>960</v>
      </c>
      <c r="L148" s="9" t="s">
        <v>937</v>
      </c>
    </row>
    <row r="149" customFormat="false" ht="23.85" hidden="false" customHeight="false" outlineLevel="0" collapsed="false">
      <c r="A149" s="8" t="s">
        <v>961</v>
      </c>
      <c r="B149" s="8" t="s">
        <v>897</v>
      </c>
      <c r="C149" s="9" t="s">
        <v>962</v>
      </c>
      <c r="D149" s="10" t="s">
        <v>963</v>
      </c>
      <c r="E149" s="10" t="s">
        <v>964</v>
      </c>
      <c r="F149" s="8" t="n">
        <f aca="false">LEN(E149)</f>
        <v>51</v>
      </c>
      <c r="G149" s="8" t="str">
        <f aca="false">IF(F149&lt;=60,"OK","Largo")</f>
        <v>OK</v>
      </c>
      <c r="H149" s="10" t="s">
        <v>965</v>
      </c>
      <c r="I149" s="8" t="n">
        <f aca="false">LEN(H149)</f>
        <v>138</v>
      </c>
      <c r="J149" s="8" t="str">
        <f aca="false">IF(AND(I149&gt;=120,I149&lt;=155),"OK",IF(I149&lt;120,"Corta","Larga"))</f>
        <v>OK</v>
      </c>
      <c r="K149" s="10" t="s">
        <v>966</v>
      </c>
      <c r="L149" s="9" t="s">
        <v>755</v>
      </c>
    </row>
    <row r="150" customFormat="false" ht="35.05" hidden="false" customHeight="false" outlineLevel="0" collapsed="false">
      <c r="A150" s="8" t="s">
        <v>967</v>
      </c>
      <c r="B150" s="8" t="s">
        <v>968</v>
      </c>
      <c r="C150" s="9" t="s">
        <v>969</v>
      </c>
      <c r="D150" s="10" t="s">
        <v>970</v>
      </c>
      <c r="E150" s="10" t="s">
        <v>971</v>
      </c>
      <c r="F150" s="8" t="n">
        <f aca="false">LEN(E150)</f>
        <v>52</v>
      </c>
      <c r="G150" s="8" t="str">
        <f aca="false">IF(F150&lt;=60,"OK","Largo")</f>
        <v>OK</v>
      </c>
      <c r="H150" s="10" t="s">
        <v>972</v>
      </c>
      <c r="I150" s="8" t="n">
        <f aca="false">LEN(H150)</f>
        <v>148</v>
      </c>
      <c r="J150" s="8" t="str">
        <f aca="false">IF(AND(I150&gt;=120,I150&lt;=155),"OK",IF(I150&lt;120,"Corta","Larga"))</f>
        <v>OK</v>
      </c>
      <c r="K150" s="10" t="s">
        <v>973</v>
      </c>
      <c r="L150" s="9"/>
    </row>
    <row r="151" customFormat="false" ht="35.05" hidden="false" customHeight="false" outlineLevel="0" collapsed="false">
      <c r="A151" s="8" t="s">
        <v>974</v>
      </c>
      <c r="B151" s="8" t="s">
        <v>968</v>
      </c>
      <c r="C151" s="9" t="s">
        <v>975</v>
      </c>
      <c r="D151" s="10" t="s">
        <v>976</v>
      </c>
      <c r="E151" s="10" t="s">
        <v>977</v>
      </c>
      <c r="F151" s="8" t="n">
        <f aca="false">LEN(E151)</f>
        <v>52</v>
      </c>
      <c r="G151" s="8" t="str">
        <f aca="false">IF(F151&lt;=60,"OK","Largo")</f>
        <v>OK</v>
      </c>
      <c r="H151" s="10" t="s">
        <v>978</v>
      </c>
      <c r="I151" s="8" t="n">
        <f aca="false">LEN(H151)</f>
        <v>148</v>
      </c>
      <c r="J151" s="8" t="str">
        <f aca="false">IF(AND(I151&gt;=120,I151&lt;=155),"OK",IF(I151&lt;120,"Corta","Larga"))</f>
        <v>OK</v>
      </c>
      <c r="K151" s="10" t="s">
        <v>979</v>
      </c>
      <c r="L151" s="9"/>
    </row>
    <row r="152" customFormat="false" ht="35.05" hidden="false" customHeight="false" outlineLevel="0" collapsed="false">
      <c r="A152" s="8" t="s">
        <v>980</v>
      </c>
      <c r="B152" s="8" t="s">
        <v>968</v>
      </c>
      <c r="C152" s="9" t="s">
        <v>981</v>
      </c>
      <c r="D152" s="10" t="s">
        <v>982</v>
      </c>
      <c r="E152" s="10" t="s">
        <v>983</v>
      </c>
      <c r="F152" s="8" t="n">
        <f aca="false">LEN(E152)</f>
        <v>59</v>
      </c>
      <c r="G152" s="8" t="str">
        <f aca="false">IF(F152&lt;=60,"OK","Largo")</f>
        <v>OK</v>
      </c>
      <c r="H152" s="10" t="s">
        <v>984</v>
      </c>
      <c r="I152" s="8" t="n">
        <f aca="false">LEN(H152)</f>
        <v>146</v>
      </c>
      <c r="J152" s="8" t="str">
        <f aca="false">IF(AND(I152&gt;=120,I152&lt;=155),"OK",IF(I152&lt;120,"Corta","Larga"))</f>
        <v>OK</v>
      </c>
      <c r="K152" s="10" t="s">
        <v>985</v>
      </c>
      <c r="L152" s="9"/>
    </row>
    <row r="153" customFormat="false" ht="35.05" hidden="false" customHeight="false" outlineLevel="0" collapsed="false">
      <c r="A153" s="8" t="s">
        <v>986</v>
      </c>
      <c r="B153" s="8" t="s">
        <v>968</v>
      </c>
      <c r="C153" s="9" t="s">
        <v>987</v>
      </c>
      <c r="D153" s="10" t="s">
        <v>988</v>
      </c>
      <c r="E153" s="10" t="s">
        <v>989</v>
      </c>
      <c r="F153" s="8" t="n">
        <f aca="false">LEN(E153)</f>
        <v>56</v>
      </c>
      <c r="G153" s="8" t="str">
        <f aca="false">IF(F153&lt;=60,"OK","Largo")</f>
        <v>OK</v>
      </c>
      <c r="H153" s="10" t="s">
        <v>990</v>
      </c>
      <c r="I153" s="8" t="n">
        <f aca="false">LEN(H153)</f>
        <v>143</v>
      </c>
      <c r="J153" s="8" t="str">
        <f aca="false">IF(AND(I153&gt;=120,I153&lt;=155),"OK",IF(I153&lt;120,"Corta","Larga"))</f>
        <v>OK</v>
      </c>
      <c r="K153" s="10" t="s">
        <v>991</v>
      </c>
      <c r="L153" s="9"/>
    </row>
    <row r="154" customFormat="false" ht="35.05" hidden="false" customHeight="false" outlineLevel="0" collapsed="false">
      <c r="A154" s="8" t="s">
        <v>992</v>
      </c>
      <c r="B154" s="8" t="s">
        <v>968</v>
      </c>
      <c r="C154" s="9" t="s">
        <v>993</v>
      </c>
      <c r="D154" s="10" t="s">
        <v>994</v>
      </c>
      <c r="E154" s="10" t="s">
        <v>995</v>
      </c>
      <c r="F154" s="8" t="n">
        <f aca="false">LEN(E154)</f>
        <v>52</v>
      </c>
      <c r="G154" s="8" t="str">
        <f aca="false">IF(F154&lt;=60,"OK","Largo")</f>
        <v>OK</v>
      </c>
      <c r="H154" s="10" t="s">
        <v>996</v>
      </c>
      <c r="I154" s="8" t="n">
        <f aca="false">LEN(H154)</f>
        <v>139</v>
      </c>
      <c r="J154" s="8" t="str">
        <f aca="false">IF(AND(I154&gt;=120,I154&lt;=155),"OK",IF(I154&lt;120,"Corta","Larga"))</f>
        <v>OK</v>
      </c>
      <c r="K154" s="10" t="s">
        <v>997</v>
      </c>
      <c r="L154" s="9"/>
    </row>
    <row r="155" customFormat="false" ht="35.05" hidden="false" customHeight="false" outlineLevel="0" collapsed="false">
      <c r="A155" s="8" t="s">
        <v>998</v>
      </c>
      <c r="B155" s="8" t="s">
        <v>968</v>
      </c>
      <c r="C155" s="9" t="s">
        <v>999</v>
      </c>
      <c r="D155" s="10" t="s">
        <v>1000</v>
      </c>
      <c r="E155" s="10" t="s">
        <v>1001</v>
      </c>
      <c r="F155" s="8" t="n">
        <f aca="false">LEN(E155)</f>
        <v>60</v>
      </c>
      <c r="G155" s="8" t="str">
        <f aca="false">IF(F155&lt;=60,"OK","Largo")</f>
        <v>OK</v>
      </c>
      <c r="H155" s="10" t="s">
        <v>1002</v>
      </c>
      <c r="I155" s="8" t="n">
        <f aca="false">LEN(H155)</f>
        <v>147</v>
      </c>
      <c r="J155" s="8" t="str">
        <f aca="false">IF(AND(I155&gt;=120,I155&lt;=155),"OK",IF(I155&lt;120,"Corta","Larga"))</f>
        <v>OK</v>
      </c>
      <c r="K155" s="10" t="s">
        <v>1003</v>
      </c>
      <c r="L155" s="9"/>
    </row>
    <row r="156" customFormat="false" ht="23.85" hidden="false" customHeight="false" outlineLevel="0" collapsed="false">
      <c r="A156" s="8" t="s">
        <v>1004</v>
      </c>
      <c r="B156" s="8" t="s">
        <v>968</v>
      </c>
      <c r="C156" s="9" t="s">
        <v>1005</v>
      </c>
      <c r="D156" s="10" t="s">
        <v>1006</v>
      </c>
      <c r="E156" s="10" t="s">
        <v>1007</v>
      </c>
      <c r="F156" s="8" t="n">
        <f aca="false">LEN(E156)</f>
        <v>51</v>
      </c>
      <c r="G156" s="8" t="str">
        <f aca="false">IF(F156&lt;=60,"OK","Largo")</f>
        <v>OK</v>
      </c>
      <c r="H156" s="10" t="s">
        <v>1008</v>
      </c>
      <c r="I156" s="8" t="n">
        <f aca="false">LEN(H156)</f>
        <v>138</v>
      </c>
      <c r="J156" s="8" t="str">
        <f aca="false">IF(AND(I156&gt;=120,I156&lt;=155),"OK",IF(I156&lt;120,"Corta","Larga"))</f>
        <v>OK</v>
      </c>
      <c r="K156" s="10" t="s">
        <v>1009</v>
      </c>
      <c r="L156" s="9"/>
    </row>
    <row r="157" customFormat="false" ht="35.05" hidden="false" customHeight="false" outlineLevel="0" collapsed="false">
      <c r="A157" s="8" t="s">
        <v>1010</v>
      </c>
      <c r="B157" s="8" t="s">
        <v>968</v>
      </c>
      <c r="C157" s="9" t="s">
        <v>1011</v>
      </c>
      <c r="D157" s="10" t="s">
        <v>1012</v>
      </c>
      <c r="E157" s="10" t="s">
        <v>1013</v>
      </c>
      <c r="F157" s="8" t="n">
        <f aca="false">LEN(E157)</f>
        <v>59</v>
      </c>
      <c r="G157" s="8" t="str">
        <f aca="false">IF(F157&lt;=60,"OK","Largo")</f>
        <v>OK</v>
      </c>
      <c r="H157" s="10" t="s">
        <v>1014</v>
      </c>
      <c r="I157" s="8" t="n">
        <f aca="false">LEN(H157)</f>
        <v>146</v>
      </c>
      <c r="J157" s="8" t="str">
        <f aca="false">IF(AND(I157&gt;=120,I157&lt;=155),"OK",IF(I157&lt;120,"Corta","Larga"))</f>
        <v>OK</v>
      </c>
      <c r="K157" s="10" t="s">
        <v>1015</v>
      </c>
      <c r="L157" s="9"/>
    </row>
    <row r="158" customFormat="false" ht="35.05" hidden="false" customHeight="false" outlineLevel="0" collapsed="false">
      <c r="A158" s="8" t="s">
        <v>1016</v>
      </c>
      <c r="B158" s="8" t="s">
        <v>968</v>
      </c>
      <c r="C158" s="9" t="s">
        <v>1017</v>
      </c>
      <c r="D158" s="10" t="s">
        <v>1017</v>
      </c>
      <c r="E158" s="10" t="s">
        <v>1018</v>
      </c>
      <c r="F158" s="8" t="n">
        <f aca="false">LEN(E158)</f>
        <v>48</v>
      </c>
      <c r="G158" s="8" t="str">
        <f aca="false">IF(F158&lt;=60,"OK","Largo")</f>
        <v>OK</v>
      </c>
      <c r="H158" s="10" t="s">
        <v>1019</v>
      </c>
      <c r="I158" s="8" t="n">
        <f aca="false">LEN(H158)</f>
        <v>153</v>
      </c>
      <c r="J158" s="8" t="str">
        <f aca="false">IF(AND(I158&gt;=120,I158&lt;=155),"OK",IF(I158&lt;120,"Corta","Larga"))</f>
        <v>OK</v>
      </c>
      <c r="K158" s="10" t="s">
        <v>1020</v>
      </c>
      <c r="L158" s="9"/>
    </row>
    <row r="159" customFormat="false" ht="35.05" hidden="false" customHeight="false" outlineLevel="0" collapsed="false">
      <c r="A159" s="8" t="s">
        <v>1021</v>
      </c>
      <c r="B159" s="8" t="s">
        <v>1022</v>
      </c>
      <c r="C159" s="9" t="s">
        <v>1023</v>
      </c>
      <c r="D159" s="10" t="s">
        <v>1023</v>
      </c>
      <c r="E159" s="10" t="s">
        <v>1024</v>
      </c>
      <c r="F159" s="8" t="n">
        <f aca="false">LEN(E159)</f>
        <v>46</v>
      </c>
      <c r="G159" s="8" t="str">
        <f aca="false">IF(F159&lt;=60,"OK","Largo")</f>
        <v>OK</v>
      </c>
      <c r="H159" s="10" t="s">
        <v>1025</v>
      </c>
      <c r="I159" s="8" t="n">
        <f aca="false">LEN(H159)</f>
        <v>151</v>
      </c>
      <c r="J159" s="8" t="str">
        <f aca="false">IF(AND(I159&gt;=120,I159&lt;=155),"OK",IF(I159&lt;120,"Corta","Larga"))</f>
        <v>OK</v>
      </c>
      <c r="K159" s="10" t="s">
        <v>1026</v>
      </c>
      <c r="L159" s="9"/>
    </row>
    <row r="160" customFormat="false" ht="35.05" hidden="false" customHeight="false" outlineLevel="0" collapsed="false">
      <c r="A160" s="8" t="s">
        <v>1027</v>
      </c>
      <c r="B160" s="8" t="s">
        <v>1022</v>
      </c>
      <c r="C160" s="9" t="s">
        <v>1028</v>
      </c>
      <c r="D160" s="10" t="s">
        <v>1028</v>
      </c>
      <c r="E160" s="10" t="s">
        <v>1029</v>
      </c>
      <c r="F160" s="8" t="n">
        <f aca="false">LEN(E160)</f>
        <v>46</v>
      </c>
      <c r="G160" s="8" t="str">
        <f aca="false">IF(F160&lt;=60,"OK","Largo")</f>
        <v>OK</v>
      </c>
      <c r="H160" s="10" t="s">
        <v>1030</v>
      </c>
      <c r="I160" s="8" t="n">
        <f aca="false">LEN(H160)</f>
        <v>151</v>
      </c>
      <c r="J160" s="8" t="str">
        <f aca="false">IF(AND(I160&gt;=120,I160&lt;=155),"OK",IF(I160&lt;120,"Corta","Larga"))</f>
        <v>OK</v>
      </c>
      <c r="K160" s="10" t="s">
        <v>1031</v>
      </c>
      <c r="L160" s="9"/>
    </row>
    <row r="161" customFormat="false" ht="35.05" hidden="false" customHeight="false" outlineLevel="0" collapsed="false">
      <c r="A161" s="8" t="s">
        <v>1032</v>
      </c>
      <c r="B161" s="8" t="s">
        <v>1022</v>
      </c>
      <c r="C161" s="9" t="s">
        <v>1033</v>
      </c>
      <c r="D161" s="10" t="s">
        <v>1033</v>
      </c>
      <c r="E161" s="10" t="s">
        <v>1034</v>
      </c>
      <c r="F161" s="8" t="n">
        <f aca="false">LEN(E161)</f>
        <v>45</v>
      </c>
      <c r="G161" s="8" t="str">
        <f aca="false">IF(F161&lt;=60,"OK","Largo")</f>
        <v>OK</v>
      </c>
      <c r="H161" s="10" t="s">
        <v>1035</v>
      </c>
      <c r="I161" s="8" t="n">
        <f aca="false">LEN(H161)</f>
        <v>150</v>
      </c>
      <c r="J161" s="8" t="str">
        <f aca="false">IF(AND(I161&gt;=120,I161&lt;=155),"OK",IF(I161&lt;120,"Corta","Larga"))</f>
        <v>OK</v>
      </c>
      <c r="K161" s="10" t="s">
        <v>1036</v>
      </c>
      <c r="L161" s="9"/>
    </row>
    <row r="162" customFormat="false" ht="35.05" hidden="false" customHeight="false" outlineLevel="0" collapsed="false">
      <c r="A162" s="8" t="s">
        <v>1037</v>
      </c>
      <c r="B162" s="8" t="s">
        <v>1022</v>
      </c>
      <c r="C162" s="9" t="s">
        <v>1038</v>
      </c>
      <c r="D162" s="10" t="s">
        <v>1038</v>
      </c>
      <c r="E162" s="10" t="s">
        <v>1039</v>
      </c>
      <c r="F162" s="8" t="n">
        <f aca="false">LEN(E162)</f>
        <v>45</v>
      </c>
      <c r="G162" s="8" t="str">
        <f aca="false">IF(F162&lt;=60,"OK","Largo")</f>
        <v>OK</v>
      </c>
      <c r="H162" s="10" t="s">
        <v>1040</v>
      </c>
      <c r="I162" s="8" t="n">
        <f aca="false">LEN(H162)</f>
        <v>150</v>
      </c>
      <c r="J162" s="8" t="str">
        <f aca="false">IF(AND(I162&gt;=120,I162&lt;=155),"OK",IF(I162&lt;120,"Corta","Larga"))</f>
        <v>OK</v>
      </c>
      <c r="K162" s="10" t="s">
        <v>1041</v>
      </c>
      <c r="L162" s="9"/>
    </row>
    <row r="163" customFormat="false" ht="35.05" hidden="false" customHeight="false" outlineLevel="0" collapsed="false">
      <c r="A163" s="8" t="s">
        <v>1042</v>
      </c>
      <c r="B163" s="8" t="s">
        <v>1022</v>
      </c>
      <c r="C163" s="9" t="s">
        <v>1043</v>
      </c>
      <c r="D163" s="10" t="s">
        <v>1043</v>
      </c>
      <c r="E163" s="10" t="s">
        <v>1044</v>
      </c>
      <c r="F163" s="8" t="n">
        <f aca="false">LEN(E163)</f>
        <v>45</v>
      </c>
      <c r="G163" s="8" t="str">
        <f aca="false">IF(F163&lt;=60,"OK","Largo")</f>
        <v>OK</v>
      </c>
      <c r="H163" s="10" t="s">
        <v>1045</v>
      </c>
      <c r="I163" s="8" t="n">
        <f aca="false">LEN(H163)</f>
        <v>150</v>
      </c>
      <c r="J163" s="8" t="str">
        <f aca="false">IF(AND(I163&gt;=120,I163&lt;=155),"OK",IF(I163&lt;120,"Corta","Larga"))</f>
        <v>OK</v>
      </c>
      <c r="K163" s="10" t="s">
        <v>1046</v>
      </c>
      <c r="L163" s="9"/>
    </row>
    <row r="164" customFormat="false" ht="35.05" hidden="false" customHeight="false" outlineLevel="0" collapsed="false">
      <c r="A164" s="8" t="s">
        <v>1047</v>
      </c>
      <c r="B164" s="8" t="s">
        <v>1022</v>
      </c>
      <c r="C164" s="9" t="s">
        <v>1048</v>
      </c>
      <c r="D164" s="10" t="s">
        <v>1049</v>
      </c>
      <c r="E164" s="10" t="s">
        <v>1050</v>
      </c>
      <c r="F164" s="8" t="n">
        <f aca="false">LEN(E164)</f>
        <v>55</v>
      </c>
      <c r="G164" s="8" t="str">
        <f aca="false">IF(F164&lt;=60,"OK","Largo")</f>
        <v>OK</v>
      </c>
      <c r="H164" s="10" t="s">
        <v>1051</v>
      </c>
      <c r="I164" s="8" t="n">
        <f aca="false">LEN(H164)</f>
        <v>151</v>
      </c>
      <c r="J164" s="8" t="str">
        <f aca="false">IF(AND(I164&gt;=120,I164&lt;=155),"OK",IF(I164&lt;120,"Corta","Larga"))</f>
        <v>OK</v>
      </c>
      <c r="K164" s="10" t="s">
        <v>1052</v>
      </c>
      <c r="L164" s="9"/>
    </row>
    <row r="165" customFormat="false" ht="35.05" hidden="false" customHeight="false" outlineLevel="0" collapsed="false">
      <c r="A165" s="8" t="s">
        <v>1053</v>
      </c>
      <c r="B165" s="8" t="s">
        <v>1022</v>
      </c>
      <c r="C165" s="9" t="s">
        <v>1054</v>
      </c>
      <c r="D165" s="10" t="s">
        <v>1055</v>
      </c>
      <c r="E165" s="10" t="s">
        <v>1056</v>
      </c>
      <c r="F165" s="8" t="n">
        <f aca="false">LEN(E165)</f>
        <v>54</v>
      </c>
      <c r="G165" s="8" t="str">
        <f aca="false">IF(F165&lt;=60,"OK","Largo")</f>
        <v>OK</v>
      </c>
      <c r="H165" s="10" t="s">
        <v>1057</v>
      </c>
      <c r="I165" s="8" t="n">
        <f aca="false">LEN(H165)</f>
        <v>150</v>
      </c>
      <c r="J165" s="8" t="str">
        <f aca="false">IF(AND(I165&gt;=120,I165&lt;=155),"OK",IF(I165&lt;120,"Corta","Larga"))</f>
        <v>OK</v>
      </c>
      <c r="K165" s="10" t="s">
        <v>1058</v>
      </c>
      <c r="L165" s="9"/>
    </row>
    <row r="166" customFormat="false" ht="35.05" hidden="false" customHeight="false" outlineLevel="0" collapsed="false">
      <c r="A166" s="8" t="s">
        <v>1059</v>
      </c>
      <c r="B166" s="8" t="s">
        <v>1022</v>
      </c>
      <c r="C166" s="9" t="s">
        <v>1060</v>
      </c>
      <c r="D166" s="10" t="s">
        <v>1061</v>
      </c>
      <c r="E166" s="10" t="s">
        <v>1062</v>
      </c>
      <c r="F166" s="8" t="n">
        <f aca="false">LEN(E166)</f>
        <v>56</v>
      </c>
      <c r="G166" s="8" t="str">
        <f aca="false">IF(F166&lt;=60,"OK","Largo")</f>
        <v>OK</v>
      </c>
      <c r="H166" s="10" t="s">
        <v>1063</v>
      </c>
      <c r="I166" s="8" t="n">
        <f aca="false">LEN(H166)</f>
        <v>143</v>
      </c>
      <c r="J166" s="8" t="str">
        <f aca="false">IF(AND(I166&gt;=120,I166&lt;=155),"OK",IF(I166&lt;120,"Corta","Larga"))</f>
        <v>OK</v>
      </c>
      <c r="K166" s="10" t="s">
        <v>1064</v>
      </c>
      <c r="L166" s="9"/>
    </row>
    <row r="167" customFormat="false" ht="35.05" hidden="false" customHeight="false" outlineLevel="0" collapsed="false">
      <c r="A167" s="8" t="s">
        <v>1065</v>
      </c>
      <c r="B167" s="8" t="s">
        <v>1022</v>
      </c>
      <c r="C167" s="9" t="s">
        <v>1066</v>
      </c>
      <c r="D167" s="10" t="s">
        <v>1067</v>
      </c>
      <c r="E167" s="10" t="s">
        <v>1068</v>
      </c>
      <c r="F167" s="8" t="n">
        <f aca="false">LEN(E167)</f>
        <v>56</v>
      </c>
      <c r="G167" s="8" t="str">
        <f aca="false">IF(F167&lt;=60,"OK","Largo")</f>
        <v>OK</v>
      </c>
      <c r="H167" s="10" t="s">
        <v>1069</v>
      </c>
      <c r="I167" s="8" t="n">
        <f aca="false">LEN(H167)</f>
        <v>143</v>
      </c>
      <c r="J167" s="8" t="str">
        <f aca="false">IF(AND(I167&gt;=120,I167&lt;=155),"OK",IF(I167&lt;120,"Corta","Larga"))</f>
        <v>OK</v>
      </c>
      <c r="K167" s="10" t="s">
        <v>1070</v>
      </c>
      <c r="L167" s="9"/>
    </row>
    <row r="168" customFormat="false" ht="35.05" hidden="false" customHeight="false" outlineLevel="0" collapsed="false">
      <c r="A168" s="8" t="s">
        <v>1071</v>
      </c>
      <c r="B168" s="8" t="s">
        <v>1022</v>
      </c>
      <c r="C168" s="9" t="s">
        <v>1072</v>
      </c>
      <c r="D168" s="10" t="s">
        <v>1072</v>
      </c>
      <c r="E168" s="10" t="s">
        <v>1073</v>
      </c>
      <c r="F168" s="8" t="n">
        <f aca="false">LEN(E168)</f>
        <v>46</v>
      </c>
      <c r="G168" s="8" t="str">
        <f aca="false">IF(F168&lt;=60,"OK","Largo")</f>
        <v>OK</v>
      </c>
      <c r="H168" s="10" t="s">
        <v>1074</v>
      </c>
      <c r="I168" s="8" t="n">
        <f aca="false">LEN(H168)</f>
        <v>151</v>
      </c>
      <c r="J168" s="8" t="str">
        <f aca="false">IF(AND(I168&gt;=120,I168&lt;=155),"OK",IF(I168&lt;120,"Corta","Larga"))</f>
        <v>OK</v>
      </c>
      <c r="K168" s="10" t="s">
        <v>1075</v>
      </c>
      <c r="L168" s="9"/>
    </row>
    <row r="169" customFormat="false" ht="35.05" hidden="false" customHeight="false" outlineLevel="0" collapsed="false">
      <c r="A169" s="8" t="s">
        <v>1076</v>
      </c>
      <c r="B169" s="8" t="s">
        <v>1022</v>
      </c>
      <c r="C169" s="9" t="s">
        <v>1077</v>
      </c>
      <c r="D169" s="10" t="s">
        <v>1078</v>
      </c>
      <c r="E169" s="10" t="s">
        <v>1079</v>
      </c>
      <c r="F169" s="8" t="n">
        <f aca="false">LEN(E169)</f>
        <v>57</v>
      </c>
      <c r="G169" s="8" t="str">
        <f aca="false">IF(F169&lt;=60,"OK","Largo")</f>
        <v>OK</v>
      </c>
      <c r="H169" s="10" t="s">
        <v>1080</v>
      </c>
      <c r="I169" s="8" t="n">
        <f aca="false">LEN(H169)</f>
        <v>144</v>
      </c>
      <c r="J169" s="8" t="str">
        <f aca="false">IF(AND(I169&gt;=120,I169&lt;=155),"OK",IF(I169&lt;120,"Corta","Larga"))</f>
        <v>OK</v>
      </c>
      <c r="K169" s="10" t="s">
        <v>1081</v>
      </c>
      <c r="L169" s="9"/>
    </row>
    <row r="170" customFormat="false" ht="35.05" hidden="false" customHeight="false" outlineLevel="0" collapsed="false">
      <c r="A170" s="8" t="s">
        <v>1082</v>
      </c>
      <c r="B170" s="8" t="s">
        <v>1083</v>
      </c>
      <c r="C170" s="9" t="s">
        <v>1084</v>
      </c>
      <c r="D170" s="10" t="s">
        <v>1084</v>
      </c>
      <c r="E170" s="10" t="s">
        <v>1085</v>
      </c>
      <c r="F170" s="8" t="n">
        <f aca="false">LEN(E170)</f>
        <v>56</v>
      </c>
      <c r="G170" s="8" t="str">
        <f aca="false">IF(F170&lt;=60,"OK","Largo")</f>
        <v>OK</v>
      </c>
      <c r="H170" s="10" t="s">
        <v>1086</v>
      </c>
      <c r="I170" s="8" t="n">
        <f aca="false">LEN(H170)</f>
        <v>143</v>
      </c>
      <c r="J170" s="8" t="str">
        <f aca="false">IF(AND(I170&gt;=120,I170&lt;=155),"OK",IF(I170&lt;120,"Corta","Larga"))</f>
        <v>OK</v>
      </c>
      <c r="K170" s="10" t="s">
        <v>1087</v>
      </c>
      <c r="L170" s="9"/>
    </row>
    <row r="171" customFormat="false" ht="35.05" hidden="false" customHeight="false" outlineLevel="0" collapsed="false">
      <c r="A171" s="8" t="s">
        <v>1088</v>
      </c>
      <c r="B171" s="8" t="s">
        <v>1083</v>
      </c>
      <c r="C171" s="9" t="s">
        <v>1089</v>
      </c>
      <c r="D171" s="10" t="s">
        <v>1089</v>
      </c>
      <c r="E171" s="10" t="s">
        <v>1090</v>
      </c>
      <c r="F171" s="8" t="n">
        <f aca="false">LEN(E171)</f>
        <v>55</v>
      </c>
      <c r="G171" s="8" t="str">
        <f aca="false">IF(F171&lt;=60,"OK","Largo")</f>
        <v>OK</v>
      </c>
      <c r="H171" s="10" t="s">
        <v>1091</v>
      </c>
      <c r="I171" s="8" t="n">
        <f aca="false">LEN(H171)</f>
        <v>142</v>
      </c>
      <c r="J171" s="8" t="str">
        <f aca="false">IF(AND(I171&gt;=120,I171&lt;=155),"OK",IF(I171&lt;120,"Corta","Larga"))</f>
        <v>OK</v>
      </c>
      <c r="K171" s="10" t="s">
        <v>1092</v>
      </c>
      <c r="L171" s="9"/>
    </row>
    <row r="172" customFormat="false" ht="35.05" hidden="false" customHeight="false" outlineLevel="0" collapsed="false">
      <c r="A172" s="8" t="s">
        <v>1093</v>
      </c>
      <c r="B172" s="8" t="s">
        <v>1083</v>
      </c>
      <c r="C172" s="9" t="s">
        <v>1094</v>
      </c>
      <c r="D172" s="10" t="s">
        <v>1094</v>
      </c>
      <c r="E172" s="10" t="s">
        <v>1095</v>
      </c>
      <c r="F172" s="8" t="n">
        <f aca="false">LEN(E172)</f>
        <v>53</v>
      </c>
      <c r="G172" s="8" t="str">
        <f aca="false">IF(F172&lt;=60,"OK","Largo")</f>
        <v>OK</v>
      </c>
      <c r="H172" s="10" t="s">
        <v>1096</v>
      </c>
      <c r="I172" s="8" t="n">
        <f aca="false">LEN(H172)</f>
        <v>140</v>
      </c>
      <c r="J172" s="8" t="str">
        <f aca="false">IF(AND(I172&gt;=120,I172&lt;=155),"OK",IF(I172&lt;120,"Corta","Larga"))</f>
        <v>OK</v>
      </c>
      <c r="K172" s="10" t="s">
        <v>1097</v>
      </c>
      <c r="L172" s="9"/>
    </row>
    <row r="173" customFormat="false" ht="23.85" hidden="false" customHeight="false" outlineLevel="0" collapsed="false">
      <c r="A173" s="8" t="s">
        <v>1098</v>
      </c>
      <c r="B173" s="8" t="s">
        <v>1083</v>
      </c>
      <c r="C173" s="9" t="s">
        <v>1099</v>
      </c>
      <c r="D173" s="10" t="s">
        <v>1100</v>
      </c>
      <c r="E173" s="10" t="s">
        <v>1100</v>
      </c>
      <c r="F173" s="8" t="n">
        <f aca="false">LEN(E173)</f>
        <v>56</v>
      </c>
      <c r="G173" s="8" t="str">
        <f aca="false">IF(F173&lt;=60,"OK","Largo")</f>
        <v>OK</v>
      </c>
      <c r="H173" s="10" t="s">
        <v>1101</v>
      </c>
      <c r="I173" s="8" t="n">
        <f aca="false">LEN(H173)</f>
        <v>133</v>
      </c>
      <c r="J173" s="8" t="str">
        <f aca="false">IF(AND(I173&gt;=120,I173&lt;=155),"OK",IF(I173&lt;120,"Corta","Larga"))</f>
        <v>OK</v>
      </c>
      <c r="K173" s="10" t="s">
        <v>1102</v>
      </c>
      <c r="L173" s="9"/>
    </row>
    <row r="174" customFormat="false" ht="35.05" hidden="false" customHeight="false" outlineLevel="0" collapsed="false">
      <c r="A174" s="8" t="s">
        <v>1103</v>
      </c>
      <c r="B174" s="8" t="s">
        <v>1083</v>
      </c>
      <c r="C174" s="9" t="s">
        <v>1104</v>
      </c>
      <c r="D174" s="10" t="s">
        <v>1105</v>
      </c>
      <c r="E174" s="10" t="s">
        <v>1106</v>
      </c>
      <c r="F174" s="8" t="n">
        <f aca="false">LEN(E174)</f>
        <v>57</v>
      </c>
      <c r="G174" s="8" t="str">
        <f aca="false">IF(F174&lt;=60,"OK","Largo")</f>
        <v>OK</v>
      </c>
      <c r="H174" s="10" t="s">
        <v>1107</v>
      </c>
      <c r="I174" s="8" t="n">
        <f aca="false">LEN(H174)</f>
        <v>144</v>
      </c>
      <c r="J174" s="8" t="str">
        <f aca="false">IF(AND(I174&gt;=120,I174&lt;=155),"OK",IF(I174&lt;120,"Corta","Larga"))</f>
        <v>OK</v>
      </c>
      <c r="K174" s="10" t="s">
        <v>1108</v>
      </c>
      <c r="L174" s="9"/>
    </row>
    <row r="175" customFormat="false" ht="35.05" hidden="false" customHeight="false" outlineLevel="0" collapsed="false">
      <c r="A175" s="8" t="s">
        <v>1109</v>
      </c>
      <c r="B175" s="8" t="s">
        <v>1083</v>
      </c>
      <c r="C175" s="9" t="s">
        <v>1110</v>
      </c>
      <c r="D175" s="10" t="s">
        <v>1111</v>
      </c>
      <c r="E175" s="10" t="s">
        <v>1112</v>
      </c>
      <c r="F175" s="8" t="n">
        <f aca="false">LEN(E175)</f>
        <v>59</v>
      </c>
      <c r="G175" s="8" t="str">
        <f aca="false">IF(F175&lt;=60,"OK","Largo")</f>
        <v>OK</v>
      </c>
      <c r="H175" s="10" t="s">
        <v>1113</v>
      </c>
      <c r="I175" s="8" t="n">
        <f aca="false">LEN(H175)</f>
        <v>146</v>
      </c>
      <c r="J175" s="8" t="str">
        <f aca="false">IF(AND(I175&gt;=120,I175&lt;=155),"OK",IF(I175&lt;120,"Corta","Larga"))</f>
        <v>OK</v>
      </c>
      <c r="K175" s="10" t="s">
        <v>1114</v>
      </c>
      <c r="L175" s="9"/>
    </row>
    <row r="176" customFormat="false" ht="35.05" hidden="false" customHeight="false" outlineLevel="0" collapsed="false">
      <c r="A176" s="8" t="s">
        <v>1115</v>
      </c>
      <c r="B176" s="8" t="s">
        <v>1083</v>
      </c>
      <c r="C176" s="9" t="s">
        <v>1116</v>
      </c>
      <c r="D176" s="10" t="s">
        <v>1117</v>
      </c>
      <c r="E176" s="10" t="s">
        <v>1118</v>
      </c>
      <c r="F176" s="8" t="n">
        <f aca="false">LEN(E176)</f>
        <v>57</v>
      </c>
      <c r="G176" s="8" t="str">
        <f aca="false">IF(F176&lt;=60,"OK","Largo")</f>
        <v>OK</v>
      </c>
      <c r="H176" s="10" t="s">
        <v>1119</v>
      </c>
      <c r="I176" s="8" t="n">
        <f aca="false">LEN(H176)</f>
        <v>153</v>
      </c>
      <c r="J176" s="8" t="str">
        <f aca="false">IF(AND(I176&gt;=120,I176&lt;=155),"OK",IF(I176&lt;120,"Corta","Larga"))</f>
        <v>OK</v>
      </c>
      <c r="K176" s="10" t="s">
        <v>1120</v>
      </c>
      <c r="L176" s="9"/>
    </row>
    <row r="177" customFormat="false" ht="35.05" hidden="false" customHeight="false" outlineLevel="0" collapsed="false">
      <c r="A177" s="8" t="s">
        <v>1121</v>
      </c>
      <c r="B177" s="8" t="s">
        <v>1083</v>
      </c>
      <c r="C177" s="9" t="s">
        <v>1122</v>
      </c>
      <c r="D177" s="10" t="s">
        <v>1122</v>
      </c>
      <c r="E177" s="10" t="s">
        <v>1123</v>
      </c>
      <c r="F177" s="8" t="n">
        <f aca="false">LEN(E177)</f>
        <v>50</v>
      </c>
      <c r="G177" s="8" t="str">
        <f aca="false">IF(F177&lt;=60,"OK","Largo")</f>
        <v>OK</v>
      </c>
      <c r="H177" s="10" t="s">
        <v>1124</v>
      </c>
      <c r="I177" s="8" t="n">
        <f aca="false">LEN(H177)</f>
        <v>155</v>
      </c>
      <c r="J177" s="8" t="str">
        <f aca="false">IF(AND(I177&gt;=120,I177&lt;=155),"OK",IF(I177&lt;120,"Corta","Larga"))</f>
        <v>OK</v>
      </c>
      <c r="K177" s="10" t="s">
        <v>1125</v>
      </c>
      <c r="L177" s="9"/>
    </row>
    <row r="178" customFormat="false" ht="23.85" hidden="false" customHeight="false" outlineLevel="0" collapsed="false">
      <c r="A178" s="8" t="s">
        <v>1126</v>
      </c>
      <c r="B178" s="8" t="s">
        <v>1083</v>
      </c>
      <c r="C178" s="9" t="s">
        <v>1127</v>
      </c>
      <c r="D178" s="10" t="s">
        <v>1127</v>
      </c>
      <c r="E178" s="10" t="s">
        <v>1128</v>
      </c>
      <c r="F178" s="8" t="n">
        <f aca="false">LEN(E178)</f>
        <v>51</v>
      </c>
      <c r="G178" s="8" t="str">
        <f aca="false">IF(F178&lt;=60,"OK","Largo")</f>
        <v>OK</v>
      </c>
      <c r="H178" s="10" t="s">
        <v>1129</v>
      </c>
      <c r="I178" s="8" t="n">
        <f aca="false">LEN(H178)</f>
        <v>138</v>
      </c>
      <c r="J178" s="8" t="str">
        <f aca="false">IF(AND(I178&gt;=120,I178&lt;=155),"OK",IF(I178&lt;120,"Corta","Larga"))</f>
        <v>OK</v>
      </c>
      <c r="K178" s="10" t="s">
        <v>1130</v>
      </c>
      <c r="L178" s="9"/>
    </row>
    <row r="179" customFormat="false" ht="35.05" hidden="false" customHeight="false" outlineLevel="0" collapsed="false">
      <c r="A179" s="8" t="s">
        <v>1131</v>
      </c>
      <c r="B179" s="8" t="s">
        <v>1083</v>
      </c>
      <c r="C179" s="9" t="s">
        <v>1132</v>
      </c>
      <c r="D179" s="10" t="s">
        <v>1132</v>
      </c>
      <c r="E179" s="10" t="s">
        <v>1133</v>
      </c>
      <c r="F179" s="8" t="n">
        <f aca="false">LEN(E179)</f>
        <v>50</v>
      </c>
      <c r="G179" s="8" t="str">
        <f aca="false">IF(F179&lt;=60,"OK","Largo")</f>
        <v>OK</v>
      </c>
      <c r="H179" s="10" t="s">
        <v>1134</v>
      </c>
      <c r="I179" s="8" t="n">
        <f aca="false">LEN(H179)</f>
        <v>155</v>
      </c>
      <c r="J179" s="8" t="str">
        <f aca="false">IF(AND(I179&gt;=120,I179&lt;=155),"OK",IF(I179&lt;120,"Corta","Larga"))</f>
        <v>OK</v>
      </c>
      <c r="K179" s="10" t="s">
        <v>1135</v>
      </c>
      <c r="L179" s="9"/>
    </row>
    <row r="180" customFormat="false" ht="35.05" hidden="false" customHeight="false" outlineLevel="0" collapsed="false">
      <c r="A180" s="8" t="s">
        <v>1136</v>
      </c>
      <c r="B180" s="8" t="s">
        <v>1083</v>
      </c>
      <c r="C180" s="9" t="s">
        <v>1137</v>
      </c>
      <c r="D180" s="10" t="s">
        <v>1137</v>
      </c>
      <c r="E180" s="10" t="s">
        <v>1138</v>
      </c>
      <c r="F180" s="8" t="n">
        <f aca="false">LEN(E180)</f>
        <v>47</v>
      </c>
      <c r="G180" s="8" t="str">
        <f aca="false">IF(F180&lt;=60,"OK","Largo")</f>
        <v>OK</v>
      </c>
      <c r="H180" s="10" t="s">
        <v>1139</v>
      </c>
      <c r="I180" s="8" t="n">
        <f aca="false">LEN(H180)</f>
        <v>152</v>
      </c>
      <c r="J180" s="8" t="str">
        <f aca="false">IF(AND(I180&gt;=120,I180&lt;=155),"OK",IF(I180&lt;120,"Corta","Larga"))</f>
        <v>OK</v>
      </c>
      <c r="K180" s="10" t="s">
        <v>1140</v>
      </c>
      <c r="L180" s="9"/>
    </row>
    <row r="181" customFormat="false" ht="23.85" hidden="false" customHeight="false" outlineLevel="0" collapsed="false">
      <c r="A181" s="8" t="s">
        <v>1141</v>
      </c>
      <c r="B181" s="8" t="s">
        <v>1083</v>
      </c>
      <c r="C181" s="9" t="s">
        <v>1142</v>
      </c>
      <c r="D181" s="10" t="s">
        <v>1142</v>
      </c>
      <c r="E181" s="10" t="s">
        <v>1143</v>
      </c>
      <c r="F181" s="8" t="n">
        <f aca="false">LEN(E181)</f>
        <v>52</v>
      </c>
      <c r="G181" s="8" t="str">
        <f aca="false">IF(F181&lt;=60,"OK","Largo")</f>
        <v>OK</v>
      </c>
      <c r="H181" s="10" t="s">
        <v>1144</v>
      </c>
      <c r="I181" s="8" t="n">
        <f aca="false">LEN(H181)</f>
        <v>139</v>
      </c>
      <c r="J181" s="8" t="str">
        <f aca="false">IF(AND(I181&gt;=120,I181&lt;=155),"OK",IF(I181&lt;120,"Corta","Larga"))</f>
        <v>OK</v>
      </c>
      <c r="K181" s="10" t="s">
        <v>1145</v>
      </c>
      <c r="L181" s="9"/>
    </row>
    <row r="182" customFormat="false" ht="35.05" hidden="false" customHeight="false" outlineLevel="0" collapsed="false">
      <c r="A182" s="8" t="s">
        <v>1146</v>
      </c>
      <c r="B182" s="8" t="s">
        <v>1147</v>
      </c>
      <c r="C182" s="9" t="s">
        <v>1148</v>
      </c>
      <c r="D182" s="10" t="s">
        <v>1149</v>
      </c>
      <c r="E182" s="10" t="s">
        <v>1150</v>
      </c>
      <c r="F182" s="8" t="n">
        <f aca="false">LEN(E182)</f>
        <v>57</v>
      </c>
      <c r="G182" s="8" t="str">
        <f aca="false">IF(F182&lt;=60,"OK","Largo")</f>
        <v>OK</v>
      </c>
      <c r="H182" s="10" t="s">
        <v>1151</v>
      </c>
      <c r="I182" s="8" t="n">
        <f aca="false">LEN(H182)</f>
        <v>153</v>
      </c>
      <c r="J182" s="8" t="str">
        <f aca="false">IF(AND(I182&gt;=120,I182&lt;=155),"OK",IF(I182&lt;120,"Corta","Larga"))</f>
        <v>OK</v>
      </c>
      <c r="K182" s="10" t="s">
        <v>1152</v>
      </c>
      <c r="L182" s="9"/>
    </row>
    <row r="183" customFormat="false" ht="35.05" hidden="false" customHeight="false" outlineLevel="0" collapsed="false">
      <c r="A183" s="8" t="s">
        <v>1153</v>
      </c>
      <c r="B183" s="8" t="s">
        <v>1147</v>
      </c>
      <c r="C183" s="9" t="s">
        <v>1154</v>
      </c>
      <c r="D183" s="10" t="s">
        <v>1155</v>
      </c>
      <c r="E183" s="10" t="s">
        <v>1156</v>
      </c>
      <c r="F183" s="8" t="n">
        <f aca="false">LEN(E183)</f>
        <v>55</v>
      </c>
      <c r="G183" s="8" t="str">
        <f aca="false">IF(F183&lt;=60,"OK","Largo")</f>
        <v>OK</v>
      </c>
      <c r="H183" s="10" t="s">
        <v>1157</v>
      </c>
      <c r="I183" s="8" t="n">
        <f aca="false">LEN(H183)</f>
        <v>151</v>
      </c>
      <c r="J183" s="8" t="str">
        <f aca="false">IF(AND(I183&gt;=120,I183&lt;=155),"OK",IF(I183&lt;120,"Corta","Larga"))</f>
        <v>OK</v>
      </c>
      <c r="K183" s="10" t="s">
        <v>1158</v>
      </c>
      <c r="L183" s="9"/>
    </row>
    <row r="184" customFormat="false" ht="35.05" hidden="false" customHeight="false" outlineLevel="0" collapsed="false">
      <c r="A184" s="8" t="s">
        <v>1159</v>
      </c>
      <c r="B184" s="8" t="s">
        <v>1147</v>
      </c>
      <c r="C184" s="9" t="s">
        <v>1160</v>
      </c>
      <c r="D184" s="10" t="s">
        <v>1161</v>
      </c>
      <c r="E184" s="10" t="s">
        <v>1162</v>
      </c>
      <c r="F184" s="8" t="n">
        <f aca="false">LEN(E184)</f>
        <v>51</v>
      </c>
      <c r="G184" s="8" t="str">
        <f aca="false">IF(F184&lt;=60,"OK","Largo")</f>
        <v>OK</v>
      </c>
      <c r="H184" s="10" t="s">
        <v>1163</v>
      </c>
      <c r="I184" s="8" t="n">
        <f aca="false">LEN(H184)</f>
        <v>138</v>
      </c>
      <c r="J184" s="8" t="str">
        <f aca="false">IF(AND(I184&gt;=120,I184&lt;=155),"OK",IF(I184&lt;120,"Corta","Larga"))</f>
        <v>OK</v>
      </c>
      <c r="K184" s="10" t="s">
        <v>1164</v>
      </c>
      <c r="L184" s="9"/>
    </row>
    <row r="185" customFormat="false" ht="23.85" hidden="false" customHeight="false" outlineLevel="0" collapsed="false">
      <c r="A185" s="8" t="s">
        <v>1165</v>
      </c>
      <c r="B185" s="8" t="s">
        <v>1147</v>
      </c>
      <c r="C185" s="9" t="s">
        <v>1166</v>
      </c>
      <c r="D185" s="10" t="s">
        <v>1167</v>
      </c>
      <c r="E185" s="10" t="s">
        <v>1168</v>
      </c>
      <c r="F185" s="8" t="n">
        <f aca="false">LEN(E185)</f>
        <v>51</v>
      </c>
      <c r="G185" s="8" t="str">
        <f aca="false">IF(F185&lt;=60,"OK","Largo")</f>
        <v>OK</v>
      </c>
      <c r="H185" s="10" t="s">
        <v>1169</v>
      </c>
      <c r="I185" s="8" t="n">
        <f aca="false">LEN(H185)</f>
        <v>138</v>
      </c>
      <c r="J185" s="8" t="str">
        <f aca="false">IF(AND(I185&gt;=120,I185&lt;=155),"OK",IF(I185&lt;120,"Corta","Larga"))</f>
        <v>OK</v>
      </c>
      <c r="K185" s="10" t="s">
        <v>1170</v>
      </c>
      <c r="L185" s="9"/>
    </row>
    <row r="186" customFormat="false" ht="35.05" hidden="false" customHeight="false" outlineLevel="0" collapsed="false">
      <c r="A186" s="8" t="s">
        <v>1171</v>
      </c>
      <c r="B186" s="8" t="s">
        <v>1147</v>
      </c>
      <c r="C186" s="9" t="s">
        <v>1172</v>
      </c>
      <c r="D186" s="10" t="s">
        <v>1173</v>
      </c>
      <c r="E186" s="10" t="s">
        <v>1174</v>
      </c>
      <c r="F186" s="8" t="n">
        <f aca="false">LEN(E186)</f>
        <v>60</v>
      </c>
      <c r="G186" s="8" t="str">
        <f aca="false">IF(F186&lt;=60,"OK","Largo")</f>
        <v>OK</v>
      </c>
      <c r="H186" s="10" t="s">
        <v>1175</v>
      </c>
      <c r="I186" s="8" t="n">
        <f aca="false">LEN(H186)</f>
        <v>147</v>
      </c>
      <c r="J186" s="8" t="str">
        <f aca="false">IF(AND(I186&gt;=120,I186&lt;=155),"OK",IF(I186&lt;120,"Corta","Larga"))</f>
        <v>OK</v>
      </c>
      <c r="K186" s="10" t="s">
        <v>1176</v>
      </c>
      <c r="L186" s="9"/>
    </row>
    <row r="187" customFormat="false" ht="35.05" hidden="false" customHeight="false" outlineLevel="0" collapsed="false">
      <c r="A187" s="8" t="s">
        <v>1177</v>
      </c>
      <c r="B187" s="8" t="s">
        <v>1147</v>
      </c>
      <c r="C187" s="9" t="s">
        <v>1178</v>
      </c>
      <c r="D187" s="10" t="s">
        <v>1179</v>
      </c>
      <c r="E187" s="10" t="s">
        <v>1180</v>
      </c>
      <c r="F187" s="8" t="n">
        <f aca="false">LEN(E187)</f>
        <v>54</v>
      </c>
      <c r="G187" s="8" t="str">
        <f aca="false">IF(F187&lt;=60,"OK","Largo")</f>
        <v>OK</v>
      </c>
      <c r="H187" s="10" t="s">
        <v>1181</v>
      </c>
      <c r="I187" s="8" t="n">
        <f aca="false">LEN(H187)</f>
        <v>141</v>
      </c>
      <c r="J187" s="8" t="str">
        <f aca="false">IF(AND(I187&gt;=120,I187&lt;=155),"OK",IF(I187&lt;120,"Corta","Larga"))</f>
        <v>OK</v>
      </c>
      <c r="K187" s="10" t="s">
        <v>1182</v>
      </c>
      <c r="L187" s="9"/>
    </row>
    <row r="188" customFormat="false" ht="35.05" hidden="false" customHeight="false" outlineLevel="0" collapsed="false">
      <c r="A188" s="8" t="s">
        <v>1183</v>
      </c>
      <c r="B188" s="8" t="s">
        <v>1147</v>
      </c>
      <c r="C188" s="9" t="s">
        <v>1184</v>
      </c>
      <c r="D188" s="10" t="s">
        <v>1185</v>
      </c>
      <c r="E188" s="10" t="s">
        <v>1186</v>
      </c>
      <c r="F188" s="8" t="n">
        <f aca="false">LEN(E188)</f>
        <v>54</v>
      </c>
      <c r="G188" s="8" t="str">
        <f aca="false">IF(F188&lt;=60,"OK","Largo")</f>
        <v>OK</v>
      </c>
      <c r="H188" s="10" t="s">
        <v>1187</v>
      </c>
      <c r="I188" s="8" t="n">
        <f aca="false">LEN(H188)</f>
        <v>141</v>
      </c>
      <c r="J188" s="8" t="str">
        <f aca="false">IF(AND(I188&gt;=120,I188&lt;=155),"OK",IF(I188&lt;120,"Corta","Larga"))</f>
        <v>OK</v>
      </c>
      <c r="K188" s="10" t="s">
        <v>1188</v>
      </c>
      <c r="L188" s="9"/>
    </row>
    <row r="189" customFormat="false" ht="35.05" hidden="false" customHeight="false" outlineLevel="0" collapsed="false">
      <c r="A189" s="8" t="s">
        <v>1189</v>
      </c>
      <c r="B189" s="8" t="s">
        <v>463</v>
      </c>
      <c r="C189" s="9" t="s">
        <v>1190</v>
      </c>
      <c r="D189" s="10" t="s">
        <v>1191</v>
      </c>
      <c r="E189" s="10" t="s">
        <v>1192</v>
      </c>
      <c r="F189" s="8" t="n">
        <f aca="false">LEN(E189)</f>
        <v>56</v>
      </c>
      <c r="G189" s="8" t="str">
        <f aca="false">IF(F189&lt;=60,"OK","Largo")</f>
        <v>OK</v>
      </c>
      <c r="H189" s="10" t="s">
        <v>1193</v>
      </c>
      <c r="I189" s="8" t="n">
        <f aca="false">LEN(H189)</f>
        <v>143</v>
      </c>
      <c r="J189" s="8" t="str">
        <f aca="false">IF(AND(I189&gt;=120,I189&lt;=155),"OK",IF(I189&lt;120,"Corta","Larga"))</f>
        <v>OK</v>
      </c>
      <c r="K189" s="10" t="s">
        <v>1194</v>
      </c>
      <c r="L189" s="9"/>
    </row>
    <row r="190" customFormat="false" ht="35.05" hidden="false" customHeight="false" outlineLevel="0" collapsed="false">
      <c r="A190" s="8" t="s">
        <v>1195</v>
      </c>
      <c r="B190" s="8" t="s">
        <v>1196</v>
      </c>
      <c r="C190" s="9" t="s">
        <v>1197</v>
      </c>
      <c r="D190" s="10" t="s">
        <v>1198</v>
      </c>
      <c r="E190" s="10" t="s">
        <v>1199</v>
      </c>
      <c r="F190" s="8" t="n">
        <f aca="false">LEN(E190)</f>
        <v>45</v>
      </c>
      <c r="G190" s="8" t="str">
        <f aca="false">IF(F190&lt;=60,"OK","Largo")</f>
        <v>OK</v>
      </c>
      <c r="H190" s="10" t="s">
        <v>1200</v>
      </c>
      <c r="I190" s="8" t="n">
        <f aca="false">LEN(H190)</f>
        <v>150</v>
      </c>
      <c r="J190" s="8" t="str">
        <f aca="false">IF(AND(I190&gt;=120,I190&lt;=155),"OK",IF(I190&lt;120,"Corta","Larga"))</f>
        <v>OK</v>
      </c>
      <c r="K190" s="10" t="s">
        <v>1201</v>
      </c>
      <c r="L190" s="9" t="s">
        <v>755</v>
      </c>
    </row>
    <row r="191" customFormat="false" ht="35.05" hidden="false" customHeight="false" outlineLevel="0" collapsed="false">
      <c r="A191" s="8" t="s">
        <v>1202</v>
      </c>
      <c r="B191" s="8" t="s">
        <v>1196</v>
      </c>
      <c r="C191" s="9" t="s">
        <v>1203</v>
      </c>
      <c r="D191" s="10" t="s">
        <v>1204</v>
      </c>
      <c r="E191" s="10" t="s">
        <v>1205</v>
      </c>
      <c r="F191" s="8" t="n">
        <f aca="false">LEN(E191)</f>
        <v>47</v>
      </c>
      <c r="G191" s="8" t="str">
        <f aca="false">IF(F191&lt;=60,"OK","Largo")</f>
        <v>OK</v>
      </c>
      <c r="H191" s="10" t="s">
        <v>1206</v>
      </c>
      <c r="I191" s="8" t="n">
        <f aca="false">LEN(H191)</f>
        <v>152</v>
      </c>
      <c r="J191" s="8" t="str">
        <f aca="false">IF(AND(I191&gt;=120,I191&lt;=155),"OK",IF(I191&lt;120,"Corta","Larga"))</f>
        <v>OK</v>
      </c>
      <c r="K191" s="10" t="s">
        <v>1207</v>
      </c>
      <c r="L191" s="9" t="s">
        <v>755</v>
      </c>
    </row>
    <row r="192" customFormat="false" ht="35.05" hidden="false" customHeight="false" outlineLevel="0" collapsed="false">
      <c r="A192" s="8" t="s">
        <v>1208</v>
      </c>
      <c r="B192" s="8" t="s">
        <v>1196</v>
      </c>
      <c r="C192" s="9" t="s">
        <v>1209</v>
      </c>
      <c r="D192" s="10" t="s">
        <v>1210</v>
      </c>
      <c r="E192" s="10" t="s">
        <v>1211</v>
      </c>
      <c r="F192" s="8" t="n">
        <f aca="false">LEN(E192)</f>
        <v>60</v>
      </c>
      <c r="G192" s="8" t="str">
        <f aca="false">IF(F192&lt;=60,"OK","Largo")</f>
        <v>OK</v>
      </c>
      <c r="H192" s="10" t="s">
        <v>1212</v>
      </c>
      <c r="I192" s="8" t="n">
        <f aca="false">LEN(H192)</f>
        <v>147</v>
      </c>
      <c r="J192" s="8" t="str">
        <f aca="false">IF(AND(I192&gt;=120,I192&lt;=155),"OK",IF(I192&lt;120,"Corta","Larga"))</f>
        <v>OK</v>
      </c>
      <c r="K192" s="10" t="s">
        <v>1213</v>
      </c>
      <c r="L192" s="9" t="s">
        <v>755</v>
      </c>
    </row>
    <row r="193" customFormat="false" ht="35.05" hidden="false" customHeight="false" outlineLevel="0" collapsed="false">
      <c r="A193" s="8" t="s">
        <v>1214</v>
      </c>
      <c r="B193" s="8" t="s">
        <v>1215</v>
      </c>
      <c r="C193" s="9" t="s">
        <v>1216</v>
      </c>
      <c r="D193" s="10" t="s">
        <v>1217</v>
      </c>
      <c r="E193" s="10" t="s">
        <v>1218</v>
      </c>
      <c r="F193" s="8" t="n">
        <f aca="false">LEN(E193)</f>
        <v>48</v>
      </c>
      <c r="G193" s="8" t="str">
        <f aca="false">IF(F193&lt;=60,"OK","Largo")</f>
        <v>OK</v>
      </c>
      <c r="H193" s="10" t="s">
        <v>1219</v>
      </c>
      <c r="I193" s="8" t="n">
        <f aca="false">LEN(H193)</f>
        <v>153</v>
      </c>
      <c r="J193" s="8" t="str">
        <f aca="false">IF(AND(I193&gt;=120,I193&lt;=155),"OK",IF(I193&lt;120,"Corta","Larga"))</f>
        <v>OK</v>
      </c>
      <c r="K193" s="10" t="s">
        <v>1220</v>
      </c>
      <c r="L193" s="9" t="s">
        <v>755</v>
      </c>
    </row>
    <row r="194" customFormat="false" ht="35.05" hidden="false" customHeight="false" outlineLevel="0" collapsed="false">
      <c r="A194" s="8" t="s">
        <v>1221</v>
      </c>
      <c r="B194" s="8" t="s">
        <v>1215</v>
      </c>
      <c r="C194" s="9" t="s">
        <v>1222</v>
      </c>
      <c r="D194" s="10" t="s">
        <v>1223</v>
      </c>
      <c r="E194" s="10" t="s">
        <v>1224</v>
      </c>
      <c r="F194" s="8" t="n">
        <f aca="false">LEN(E194)</f>
        <v>47</v>
      </c>
      <c r="G194" s="8" t="str">
        <f aca="false">IF(F194&lt;=60,"OK","Largo")</f>
        <v>OK</v>
      </c>
      <c r="H194" s="10" t="s">
        <v>1225</v>
      </c>
      <c r="I194" s="8" t="n">
        <f aca="false">LEN(H194)</f>
        <v>152</v>
      </c>
      <c r="J194" s="8" t="str">
        <f aca="false">IF(AND(I194&gt;=120,I194&lt;=155),"OK",IF(I194&lt;120,"Corta","Larga"))</f>
        <v>OK</v>
      </c>
      <c r="K194" s="10" t="s">
        <v>1226</v>
      </c>
      <c r="L194" s="9" t="s">
        <v>755</v>
      </c>
    </row>
    <row r="195" customFormat="false" ht="35.05" hidden="false" customHeight="false" outlineLevel="0" collapsed="false">
      <c r="A195" s="8" t="s">
        <v>1227</v>
      </c>
      <c r="B195" s="8" t="s">
        <v>1215</v>
      </c>
      <c r="C195" s="9" t="s">
        <v>1228</v>
      </c>
      <c r="D195" s="10" t="s">
        <v>1229</v>
      </c>
      <c r="E195" s="10" t="s">
        <v>1230</v>
      </c>
      <c r="F195" s="8" t="n">
        <f aca="false">LEN(E195)</f>
        <v>50</v>
      </c>
      <c r="G195" s="8" t="str">
        <f aca="false">IF(F195&lt;=60,"OK","Largo")</f>
        <v>OK</v>
      </c>
      <c r="H195" s="10" t="s">
        <v>1231</v>
      </c>
      <c r="I195" s="8" t="n">
        <f aca="false">LEN(H195)</f>
        <v>155</v>
      </c>
      <c r="J195" s="8" t="str">
        <f aca="false">IF(AND(I195&gt;=120,I195&lt;=155),"OK",IF(I195&lt;120,"Corta","Larga"))</f>
        <v>OK</v>
      </c>
      <c r="K195" s="10" t="s">
        <v>1232</v>
      </c>
      <c r="L195" s="9" t="s">
        <v>755</v>
      </c>
    </row>
    <row r="196" customFormat="false" ht="35.05" hidden="false" customHeight="false" outlineLevel="0" collapsed="false">
      <c r="A196" s="8" t="s">
        <v>1233</v>
      </c>
      <c r="B196" s="8" t="s">
        <v>1215</v>
      </c>
      <c r="C196" s="9" t="s">
        <v>1234</v>
      </c>
      <c r="D196" s="10" t="s">
        <v>1235</v>
      </c>
      <c r="E196" s="10" t="s">
        <v>1236</v>
      </c>
      <c r="F196" s="8" t="n">
        <f aca="false">LEN(E196)</f>
        <v>48</v>
      </c>
      <c r="G196" s="8" t="str">
        <f aca="false">IF(F196&lt;=60,"OK","Largo")</f>
        <v>OK</v>
      </c>
      <c r="H196" s="10" t="s">
        <v>1237</v>
      </c>
      <c r="I196" s="8" t="n">
        <f aca="false">LEN(H196)</f>
        <v>153</v>
      </c>
      <c r="J196" s="8" t="str">
        <f aca="false">IF(AND(I196&gt;=120,I196&lt;=155),"OK",IF(I196&lt;120,"Corta","Larga"))</f>
        <v>OK</v>
      </c>
      <c r="K196" s="10" t="s">
        <v>1238</v>
      </c>
      <c r="L196" s="9" t="s">
        <v>755</v>
      </c>
    </row>
    <row r="197" customFormat="false" ht="35.05" hidden="false" customHeight="false" outlineLevel="0" collapsed="false">
      <c r="A197" s="8" t="s">
        <v>1239</v>
      </c>
      <c r="B197" s="8" t="s">
        <v>1215</v>
      </c>
      <c r="C197" s="9" t="s">
        <v>1240</v>
      </c>
      <c r="D197" s="10" t="s">
        <v>1241</v>
      </c>
      <c r="E197" s="10" t="s">
        <v>1242</v>
      </c>
      <c r="F197" s="8" t="n">
        <f aca="false">LEN(E197)</f>
        <v>60</v>
      </c>
      <c r="G197" s="8" t="str">
        <f aca="false">IF(F197&lt;=60,"OK","Largo")</f>
        <v>OK</v>
      </c>
      <c r="H197" s="10" t="s">
        <v>1243</v>
      </c>
      <c r="I197" s="8" t="n">
        <f aca="false">LEN(H197)</f>
        <v>147</v>
      </c>
      <c r="J197" s="8" t="str">
        <f aca="false">IF(AND(I197&gt;=120,I197&lt;=155),"OK",IF(I197&lt;120,"Corta","Larga"))</f>
        <v>OK</v>
      </c>
      <c r="K197" s="10" t="s">
        <v>1244</v>
      </c>
      <c r="L197" s="9" t="s">
        <v>755</v>
      </c>
    </row>
    <row r="198" customFormat="false" ht="35.05" hidden="false" customHeight="false" outlineLevel="0" collapsed="false">
      <c r="A198" s="8" t="s">
        <v>1245</v>
      </c>
      <c r="B198" s="8" t="s">
        <v>1215</v>
      </c>
      <c r="C198" s="9" t="s">
        <v>1246</v>
      </c>
      <c r="D198" s="10" t="s">
        <v>1247</v>
      </c>
      <c r="E198" s="10" t="s">
        <v>1248</v>
      </c>
      <c r="F198" s="8" t="n">
        <f aca="false">LEN(E198)</f>
        <v>52</v>
      </c>
      <c r="G198" s="8" t="str">
        <f aca="false">IF(F198&lt;=60,"OK","Largo")</f>
        <v>OK</v>
      </c>
      <c r="H198" s="10" t="s">
        <v>1249</v>
      </c>
      <c r="I198" s="8" t="n">
        <f aca="false">LEN(H198)</f>
        <v>139</v>
      </c>
      <c r="J198" s="8" t="str">
        <f aca="false">IF(AND(I198&gt;=120,I198&lt;=155),"OK",IF(I198&lt;120,"Corta","Larga"))</f>
        <v>OK</v>
      </c>
      <c r="K198" s="10" t="s">
        <v>1250</v>
      </c>
      <c r="L198" s="9" t="s">
        <v>755</v>
      </c>
    </row>
    <row r="199" customFormat="false" ht="35.05" hidden="false" customHeight="false" outlineLevel="0" collapsed="false">
      <c r="A199" s="8" t="s">
        <v>1251</v>
      </c>
      <c r="B199" s="8" t="s">
        <v>1215</v>
      </c>
      <c r="C199" s="9" t="s">
        <v>1252</v>
      </c>
      <c r="D199" s="10" t="s">
        <v>1253</v>
      </c>
      <c r="E199" s="10" t="s">
        <v>1254</v>
      </c>
      <c r="F199" s="8" t="n">
        <f aca="false">LEN(E199)</f>
        <v>54</v>
      </c>
      <c r="G199" s="8" t="str">
        <f aca="false">IF(F199&lt;=60,"OK","Largo")</f>
        <v>OK</v>
      </c>
      <c r="H199" s="10" t="s">
        <v>1255</v>
      </c>
      <c r="I199" s="8" t="n">
        <f aca="false">LEN(H199)</f>
        <v>141</v>
      </c>
      <c r="J199" s="8" t="str">
        <f aca="false">IF(AND(I199&gt;=120,I199&lt;=155),"OK",IF(I199&lt;120,"Corta","Larga"))</f>
        <v>OK</v>
      </c>
      <c r="K199" s="10" t="s">
        <v>1256</v>
      </c>
      <c r="L199" s="9" t="s">
        <v>755</v>
      </c>
    </row>
    <row r="200" customFormat="false" ht="35.05" hidden="false" customHeight="false" outlineLevel="0" collapsed="false">
      <c r="A200" s="8" t="s">
        <v>1257</v>
      </c>
      <c r="B200" s="8" t="s">
        <v>1215</v>
      </c>
      <c r="C200" s="9" t="s">
        <v>1258</v>
      </c>
      <c r="D200" s="10" t="s">
        <v>1259</v>
      </c>
      <c r="E200" s="10" t="s">
        <v>1260</v>
      </c>
      <c r="F200" s="8" t="n">
        <f aca="false">LEN(E200)</f>
        <v>51</v>
      </c>
      <c r="G200" s="8" t="str">
        <f aca="false">IF(F200&lt;=60,"OK","Largo")</f>
        <v>OK</v>
      </c>
      <c r="H200" s="10" t="s">
        <v>1261</v>
      </c>
      <c r="I200" s="8" t="n">
        <f aca="false">LEN(H200)</f>
        <v>138</v>
      </c>
      <c r="J200" s="8" t="str">
        <f aca="false">IF(AND(I200&gt;=120,I200&lt;=155),"OK",IF(I200&lt;120,"Corta","Larga"))</f>
        <v>OK</v>
      </c>
      <c r="K200" s="10" t="s">
        <v>1262</v>
      </c>
      <c r="L200" s="9" t="s">
        <v>755</v>
      </c>
    </row>
    <row r="201" customFormat="false" ht="35.05" hidden="false" customHeight="false" outlineLevel="0" collapsed="false">
      <c r="A201" s="8" t="s">
        <v>1263</v>
      </c>
      <c r="B201" s="8" t="s">
        <v>1215</v>
      </c>
      <c r="C201" s="9" t="s">
        <v>1264</v>
      </c>
      <c r="D201" s="10" t="s">
        <v>1265</v>
      </c>
      <c r="E201" s="10" t="s">
        <v>1266</v>
      </c>
      <c r="F201" s="8" t="n">
        <f aca="false">LEN(E201)</f>
        <v>55</v>
      </c>
      <c r="G201" s="8" t="str">
        <f aca="false">IF(F201&lt;=60,"OK","Largo")</f>
        <v>OK</v>
      </c>
      <c r="H201" s="10" t="s">
        <v>1267</v>
      </c>
      <c r="I201" s="8" t="n">
        <f aca="false">LEN(H201)</f>
        <v>151</v>
      </c>
      <c r="J201" s="8" t="str">
        <f aca="false">IF(AND(I201&gt;=120,I201&lt;=155),"OK",IF(I201&lt;120,"Corta","Larga"))</f>
        <v>OK</v>
      </c>
      <c r="K201" s="10" t="s">
        <v>1268</v>
      </c>
      <c r="L201" s="9" t="s">
        <v>755</v>
      </c>
    </row>
    <row r="202" customFormat="false" ht="35.05" hidden="false" customHeight="false" outlineLevel="0" collapsed="false">
      <c r="A202" s="8" t="s">
        <v>1269</v>
      </c>
      <c r="B202" s="8" t="s">
        <v>1215</v>
      </c>
      <c r="C202" s="9" t="s">
        <v>1270</v>
      </c>
      <c r="D202" s="10" t="s">
        <v>1271</v>
      </c>
      <c r="E202" s="10" t="s">
        <v>1272</v>
      </c>
      <c r="F202" s="8" t="n">
        <f aca="false">LEN(E202)</f>
        <v>54</v>
      </c>
      <c r="G202" s="8" t="str">
        <f aca="false">IF(F202&lt;=60,"OK","Largo")</f>
        <v>OK</v>
      </c>
      <c r="H202" s="10" t="s">
        <v>1273</v>
      </c>
      <c r="I202" s="8" t="n">
        <f aca="false">LEN(H202)</f>
        <v>150</v>
      </c>
      <c r="J202" s="8" t="str">
        <f aca="false">IF(AND(I202&gt;=120,I202&lt;=155),"OK",IF(I202&lt;120,"Corta","Larga"))</f>
        <v>OK</v>
      </c>
      <c r="K202" s="10" t="s">
        <v>1274</v>
      </c>
      <c r="L202" s="9" t="s">
        <v>755</v>
      </c>
    </row>
    <row r="203" customFormat="false" ht="35.05" hidden="false" customHeight="false" outlineLevel="0" collapsed="false">
      <c r="A203" s="8" t="s">
        <v>1275</v>
      </c>
      <c r="B203" s="8" t="s">
        <v>1215</v>
      </c>
      <c r="C203" s="9" t="s">
        <v>1276</v>
      </c>
      <c r="D203" s="10" t="s">
        <v>1277</v>
      </c>
      <c r="E203" s="10" t="s">
        <v>1278</v>
      </c>
      <c r="F203" s="8" t="n">
        <f aca="false">LEN(E203)</f>
        <v>57</v>
      </c>
      <c r="G203" s="8" t="str">
        <f aca="false">IF(F203&lt;=60,"OK","Largo")</f>
        <v>OK</v>
      </c>
      <c r="H203" s="10" t="s">
        <v>1279</v>
      </c>
      <c r="I203" s="8" t="n">
        <f aca="false">LEN(H203)</f>
        <v>144</v>
      </c>
      <c r="J203" s="8" t="str">
        <f aca="false">IF(AND(I203&gt;=120,I203&lt;=155),"OK",IF(I203&lt;120,"Corta","Larga"))</f>
        <v>OK</v>
      </c>
      <c r="K203" s="10" t="s">
        <v>1280</v>
      </c>
      <c r="L203" s="9" t="s">
        <v>755</v>
      </c>
    </row>
    <row r="204" customFormat="false" ht="35.05" hidden="false" customHeight="false" outlineLevel="0" collapsed="false">
      <c r="A204" s="8" t="s">
        <v>1281</v>
      </c>
      <c r="B204" s="8" t="s">
        <v>1282</v>
      </c>
      <c r="C204" s="9" t="s">
        <v>1283</v>
      </c>
      <c r="D204" s="10" t="s">
        <v>1284</v>
      </c>
      <c r="E204" s="10" t="s">
        <v>1285</v>
      </c>
      <c r="F204" s="8" t="n">
        <f aca="false">LEN(E204)</f>
        <v>55</v>
      </c>
      <c r="G204" s="8" t="str">
        <f aca="false">IF(F204&lt;=60,"OK","Largo")</f>
        <v>OK</v>
      </c>
      <c r="H204" s="10" t="s">
        <v>1286</v>
      </c>
      <c r="I204" s="8" t="n">
        <f aca="false">LEN(H204)</f>
        <v>151</v>
      </c>
      <c r="J204" s="8" t="str">
        <f aca="false">IF(AND(I204&gt;=120,I204&lt;=155),"OK",IF(I204&lt;120,"Corta","Larga"))</f>
        <v>OK</v>
      </c>
      <c r="K204" s="10" t="s">
        <v>1287</v>
      </c>
      <c r="L204" s="9" t="s">
        <v>755</v>
      </c>
    </row>
    <row r="205" customFormat="false" ht="35.05" hidden="false" customHeight="false" outlineLevel="0" collapsed="false">
      <c r="A205" s="8" t="s">
        <v>1288</v>
      </c>
      <c r="B205" s="8" t="s">
        <v>1282</v>
      </c>
      <c r="C205" s="9" t="s">
        <v>1289</v>
      </c>
      <c r="D205" s="10" t="s">
        <v>1290</v>
      </c>
      <c r="E205" s="10" t="s">
        <v>1291</v>
      </c>
      <c r="F205" s="8" t="n">
        <f aca="false">LEN(E205)</f>
        <v>45</v>
      </c>
      <c r="G205" s="8" t="str">
        <f aca="false">IF(F205&lt;=60,"OK","Largo")</f>
        <v>OK</v>
      </c>
      <c r="H205" s="10" t="s">
        <v>1292</v>
      </c>
      <c r="I205" s="8" t="n">
        <f aca="false">LEN(H205)</f>
        <v>150</v>
      </c>
      <c r="J205" s="8" t="str">
        <f aca="false">IF(AND(I205&gt;=120,I205&lt;=155),"OK",IF(I205&lt;120,"Corta","Larga"))</f>
        <v>OK</v>
      </c>
      <c r="K205" s="10" t="s">
        <v>1293</v>
      </c>
      <c r="L205" s="9" t="s">
        <v>755</v>
      </c>
    </row>
    <row r="206" customFormat="false" ht="35.05" hidden="false" customHeight="false" outlineLevel="0" collapsed="false">
      <c r="A206" s="8" t="s">
        <v>1294</v>
      </c>
      <c r="B206" s="8" t="s">
        <v>1282</v>
      </c>
      <c r="C206" s="9" t="s">
        <v>1295</v>
      </c>
      <c r="D206" s="10" t="s">
        <v>1296</v>
      </c>
      <c r="E206" s="10" t="s">
        <v>1297</v>
      </c>
      <c r="F206" s="8" t="n">
        <f aca="false">LEN(E206)</f>
        <v>59</v>
      </c>
      <c r="G206" s="8" t="str">
        <f aca="false">IF(F206&lt;=60,"OK","Largo")</f>
        <v>OK</v>
      </c>
      <c r="H206" s="10" t="s">
        <v>1298</v>
      </c>
      <c r="I206" s="8" t="n">
        <f aca="false">LEN(H206)</f>
        <v>146</v>
      </c>
      <c r="J206" s="8" t="str">
        <f aca="false">IF(AND(I206&gt;=120,I206&lt;=155),"OK",IF(I206&lt;120,"Corta","Larga"))</f>
        <v>OK</v>
      </c>
      <c r="K206" s="10" t="s">
        <v>1299</v>
      </c>
      <c r="L206" s="9" t="s">
        <v>755</v>
      </c>
    </row>
    <row r="207" customFormat="false" ht="35.05" hidden="false" customHeight="false" outlineLevel="0" collapsed="false">
      <c r="A207" s="8" t="s">
        <v>1300</v>
      </c>
      <c r="B207" s="8" t="s">
        <v>1282</v>
      </c>
      <c r="C207" s="9" t="s">
        <v>1301</v>
      </c>
      <c r="D207" s="10" t="s">
        <v>1302</v>
      </c>
      <c r="E207" s="10" t="s">
        <v>1303</v>
      </c>
      <c r="F207" s="8" t="n">
        <f aca="false">LEN(E207)</f>
        <v>56</v>
      </c>
      <c r="G207" s="8" t="str">
        <f aca="false">IF(F207&lt;=60,"OK","Largo")</f>
        <v>OK</v>
      </c>
      <c r="H207" s="10" t="s">
        <v>1304</v>
      </c>
      <c r="I207" s="8" t="n">
        <f aca="false">LEN(H207)</f>
        <v>143</v>
      </c>
      <c r="J207" s="8" t="str">
        <f aca="false">IF(AND(I207&gt;=120,I207&lt;=155),"OK",IF(I207&lt;120,"Corta","Larga"))</f>
        <v>OK</v>
      </c>
      <c r="K207" s="10" t="s">
        <v>1305</v>
      </c>
      <c r="L207" s="9" t="s">
        <v>755</v>
      </c>
    </row>
    <row r="208" customFormat="false" ht="35.05" hidden="false" customHeight="false" outlineLevel="0" collapsed="false">
      <c r="A208" s="8" t="s">
        <v>1306</v>
      </c>
      <c r="B208" s="8" t="s">
        <v>1282</v>
      </c>
      <c r="C208" s="9" t="s">
        <v>1307</v>
      </c>
      <c r="D208" s="10" t="s">
        <v>1308</v>
      </c>
      <c r="E208" s="10" t="s">
        <v>1309</v>
      </c>
      <c r="F208" s="8" t="n">
        <f aca="false">LEN(E208)</f>
        <v>59</v>
      </c>
      <c r="G208" s="8" t="str">
        <f aca="false">IF(F208&lt;=60,"OK","Largo")</f>
        <v>OK</v>
      </c>
      <c r="H208" s="10" t="s">
        <v>1310</v>
      </c>
      <c r="I208" s="8" t="n">
        <f aca="false">LEN(H208)</f>
        <v>146</v>
      </c>
      <c r="J208" s="8" t="str">
        <f aca="false">IF(AND(I208&gt;=120,I208&lt;=155),"OK",IF(I208&lt;120,"Corta","Larga"))</f>
        <v>OK</v>
      </c>
      <c r="K208" s="10" t="s">
        <v>1311</v>
      </c>
      <c r="L208" s="9" t="s">
        <v>755</v>
      </c>
    </row>
    <row r="209" customFormat="false" ht="35.05" hidden="false" customHeight="false" outlineLevel="0" collapsed="false">
      <c r="A209" s="8" t="s">
        <v>1312</v>
      </c>
      <c r="B209" s="8" t="s">
        <v>1282</v>
      </c>
      <c r="C209" s="9" t="s">
        <v>1313</v>
      </c>
      <c r="D209" s="10" t="s">
        <v>1314</v>
      </c>
      <c r="E209" s="10" t="s">
        <v>1315</v>
      </c>
      <c r="F209" s="8" t="n">
        <f aca="false">LEN(E209)</f>
        <v>59</v>
      </c>
      <c r="G209" s="8" t="str">
        <f aca="false">IF(F209&lt;=60,"OK","Largo")</f>
        <v>OK</v>
      </c>
      <c r="H209" s="10" t="s">
        <v>1316</v>
      </c>
      <c r="I209" s="8" t="n">
        <f aca="false">LEN(H209)</f>
        <v>146</v>
      </c>
      <c r="J209" s="8" t="str">
        <f aca="false">IF(AND(I209&gt;=120,I209&lt;=155),"OK",IF(I209&lt;120,"Corta","Larga"))</f>
        <v>OK</v>
      </c>
      <c r="K209" s="10" t="s">
        <v>1317</v>
      </c>
      <c r="L209" s="9" t="s">
        <v>755</v>
      </c>
    </row>
    <row r="210" customFormat="false" ht="35.05" hidden="false" customHeight="false" outlineLevel="0" collapsed="false">
      <c r="A210" s="8" t="s">
        <v>1318</v>
      </c>
      <c r="B210" s="8" t="s">
        <v>1282</v>
      </c>
      <c r="C210" s="9" t="s">
        <v>1319</v>
      </c>
      <c r="D210" s="10" t="s">
        <v>1320</v>
      </c>
      <c r="E210" s="10" t="s">
        <v>1321</v>
      </c>
      <c r="F210" s="8" t="n">
        <f aca="false">LEN(E210)</f>
        <v>53</v>
      </c>
      <c r="G210" s="8" t="str">
        <f aca="false">IF(F210&lt;=60,"OK","Largo")</f>
        <v>OK</v>
      </c>
      <c r="H210" s="10" t="s">
        <v>1322</v>
      </c>
      <c r="I210" s="8" t="n">
        <f aca="false">LEN(H210)</f>
        <v>140</v>
      </c>
      <c r="J210" s="8" t="str">
        <f aca="false">IF(AND(I210&gt;=120,I210&lt;=155),"OK",IF(I210&lt;120,"Corta","Larga"))</f>
        <v>OK</v>
      </c>
      <c r="K210" s="10" t="s">
        <v>1323</v>
      </c>
      <c r="L210" s="9" t="s">
        <v>755</v>
      </c>
    </row>
    <row r="211" customFormat="false" ht="35.05" hidden="false" customHeight="false" outlineLevel="0" collapsed="false">
      <c r="A211" s="8" t="s">
        <v>1324</v>
      </c>
      <c r="B211" s="8" t="s">
        <v>1282</v>
      </c>
      <c r="C211" s="9" t="s">
        <v>1325</v>
      </c>
      <c r="D211" s="10" t="s">
        <v>1326</v>
      </c>
      <c r="E211" s="10" t="s">
        <v>1327</v>
      </c>
      <c r="F211" s="8" t="n">
        <f aca="false">LEN(E211)</f>
        <v>54</v>
      </c>
      <c r="G211" s="8" t="str">
        <f aca="false">IF(F211&lt;=60,"OK","Largo")</f>
        <v>OK</v>
      </c>
      <c r="H211" s="10" t="s">
        <v>1328</v>
      </c>
      <c r="I211" s="8" t="n">
        <f aca="false">LEN(H211)</f>
        <v>141</v>
      </c>
      <c r="J211" s="8" t="str">
        <f aca="false">IF(AND(I211&gt;=120,I211&lt;=155),"OK",IF(I211&lt;120,"Corta","Larga"))</f>
        <v>OK</v>
      </c>
      <c r="K211" s="10" t="s">
        <v>1329</v>
      </c>
      <c r="L211" s="9" t="s">
        <v>755</v>
      </c>
    </row>
    <row r="212" customFormat="false" ht="35.05" hidden="false" customHeight="false" outlineLevel="0" collapsed="false">
      <c r="A212" s="8" t="s">
        <v>1330</v>
      </c>
      <c r="B212" s="8" t="s">
        <v>1282</v>
      </c>
      <c r="C212" s="9" t="s">
        <v>1331</v>
      </c>
      <c r="D212" s="10" t="s">
        <v>1332</v>
      </c>
      <c r="E212" s="10" t="s">
        <v>1333</v>
      </c>
      <c r="F212" s="8" t="n">
        <f aca="false">LEN(E212)</f>
        <v>53</v>
      </c>
      <c r="G212" s="8" t="str">
        <f aca="false">IF(F212&lt;=60,"OK","Largo")</f>
        <v>OK</v>
      </c>
      <c r="H212" s="10" t="s">
        <v>1334</v>
      </c>
      <c r="I212" s="8" t="n">
        <f aca="false">LEN(H212)</f>
        <v>140</v>
      </c>
      <c r="J212" s="8" t="str">
        <f aca="false">IF(AND(I212&gt;=120,I212&lt;=155),"OK",IF(I212&lt;120,"Corta","Larga"))</f>
        <v>OK</v>
      </c>
      <c r="K212" s="10" t="s">
        <v>1335</v>
      </c>
      <c r="L212" s="9" t="s">
        <v>755</v>
      </c>
    </row>
    <row r="213" customFormat="false" ht="35.05" hidden="false" customHeight="false" outlineLevel="0" collapsed="false">
      <c r="A213" s="8" t="s">
        <v>1336</v>
      </c>
      <c r="B213" s="8" t="s">
        <v>1337</v>
      </c>
      <c r="C213" s="9" t="s">
        <v>1338</v>
      </c>
      <c r="D213" s="10" t="s">
        <v>1339</v>
      </c>
      <c r="E213" s="10" t="s">
        <v>1340</v>
      </c>
      <c r="F213" s="8" t="n">
        <f aca="false">LEN(E213)</f>
        <v>49</v>
      </c>
      <c r="G213" s="8" t="str">
        <f aca="false">IF(F213&lt;=60,"OK","Largo")</f>
        <v>OK</v>
      </c>
      <c r="H213" s="10" t="s">
        <v>1341</v>
      </c>
      <c r="I213" s="8" t="n">
        <f aca="false">LEN(H213)</f>
        <v>154</v>
      </c>
      <c r="J213" s="8" t="str">
        <f aca="false">IF(AND(I213&gt;=120,I213&lt;=155),"OK",IF(I213&lt;120,"Corta","Larga"))</f>
        <v>OK</v>
      </c>
      <c r="K213" s="10" t="s">
        <v>1342</v>
      </c>
      <c r="L213" s="9" t="s">
        <v>755</v>
      </c>
    </row>
    <row r="214" customFormat="false" ht="35.05" hidden="false" customHeight="false" outlineLevel="0" collapsed="false">
      <c r="A214" s="8" t="s">
        <v>1343</v>
      </c>
      <c r="B214" s="8" t="s">
        <v>1337</v>
      </c>
      <c r="C214" s="9" t="s">
        <v>1344</v>
      </c>
      <c r="D214" s="10" t="s">
        <v>1345</v>
      </c>
      <c r="E214" s="10" t="s">
        <v>1346</v>
      </c>
      <c r="F214" s="8" t="n">
        <f aca="false">LEN(E214)</f>
        <v>55</v>
      </c>
      <c r="G214" s="8" t="str">
        <f aca="false">IF(F214&lt;=60,"OK","Largo")</f>
        <v>OK</v>
      </c>
      <c r="H214" s="10" t="s">
        <v>1347</v>
      </c>
      <c r="I214" s="8" t="n">
        <f aca="false">LEN(H214)</f>
        <v>142</v>
      </c>
      <c r="J214" s="8" t="str">
        <f aca="false">IF(AND(I214&gt;=120,I214&lt;=155),"OK",IF(I214&lt;120,"Corta","Larga"))</f>
        <v>OK</v>
      </c>
      <c r="K214" s="10" t="s">
        <v>1348</v>
      </c>
      <c r="L214" s="9" t="s">
        <v>755</v>
      </c>
    </row>
    <row r="215" customFormat="false" ht="35.05" hidden="false" customHeight="false" outlineLevel="0" collapsed="false">
      <c r="A215" s="8" t="s">
        <v>1349</v>
      </c>
      <c r="B215" s="8" t="s">
        <v>1337</v>
      </c>
      <c r="C215" s="9" t="s">
        <v>1350</v>
      </c>
      <c r="D215" s="10" t="s">
        <v>1351</v>
      </c>
      <c r="E215" s="10" t="s">
        <v>1352</v>
      </c>
      <c r="F215" s="8" t="n">
        <f aca="false">LEN(E215)</f>
        <v>55</v>
      </c>
      <c r="G215" s="8" t="str">
        <f aca="false">IF(F215&lt;=60,"OK","Largo")</f>
        <v>OK</v>
      </c>
      <c r="H215" s="10" t="s">
        <v>1353</v>
      </c>
      <c r="I215" s="8" t="n">
        <f aca="false">LEN(H215)</f>
        <v>142</v>
      </c>
      <c r="J215" s="8" t="str">
        <f aca="false">IF(AND(I215&gt;=120,I215&lt;=155),"OK",IF(I215&lt;120,"Corta","Larga"))</f>
        <v>OK</v>
      </c>
      <c r="K215" s="10" t="s">
        <v>1354</v>
      </c>
      <c r="L215" s="9" t="s">
        <v>755</v>
      </c>
    </row>
    <row r="216" customFormat="false" ht="23.85" hidden="false" customHeight="false" outlineLevel="0" collapsed="false">
      <c r="A216" s="8" t="s">
        <v>1355</v>
      </c>
      <c r="B216" s="8" t="s">
        <v>1337</v>
      </c>
      <c r="C216" s="9" t="s">
        <v>1356</v>
      </c>
      <c r="D216" s="10" t="s">
        <v>1357</v>
      </c>
      <c r="E216" s="10" t="s">
        <v>1358</v>
      </c>
      <c r="F216" s="8" t="n">
        <f aca="false">LEN(E216)</f>
        <v>53</v>
      </c>
      <c r="G216" s="8" t="str">
        <f aca="false">IF(F216&lt;=60,"OK","Largo")</f>
        <v>OK</v>
      </c>
      <c r="H216" s="10" t="s">
        <v>1359</v>
      </c>
      <c r="I216" s="8" t="n">
        <f aca="false">LEN(H216)</f>
        <v>140</v>
      </c>
      <c r="J216" s="8" t="str">
        <f aca="false">IF(AND(I216&gt;=120,I216&lt;=155),"OK",IF(I216&lt;120,"Corta","Larga"))</f>
        <v>OK</v>
      </c>
      <c r="K216" s="10" t="s">
        <v>1360</v>
      </c>
      <c r="L216" s="9" t="s">
        <v>755</v>
      </c>
    </row>
    <row r="217" customFormat="false" ht="35.05" hidden="false" customHeight="false" outlineLevel="0" collapsed="false">
      <c r="A217" s="8" t="s">
        <v>1361</v>
      </c>
      <c r="B217" s="8" t="s">
        <v>1337</v>
      </c>
      <c r="C217" s="9" t="s">
        <v>1362</v>
      </c>
      <c r="D217" s="10" t="s">
        <v>1363</v>
      </c>
      <c r="E217" s="10" t="s">
        <v>1364</v>
      </c>
      <c r="F217" s="8" t="n">
        <f aca="false">LEN(E217)</f>
        <v>58</v>
      </c>
      <c r="G217" s="8" t="str">
        <f aca="false">IF(F217&lt;=60,"OK","Largo")</f>
        <v>OK</v>
      </c>
      <c r="H217" s="10" t="s">
        <v>1365</v>
      </c>
      <c r="I217" s="8" t="n">
        <f aca="false">LEN(H217)</f>
        <v>145</v>
      </c>
      <c r="J217" s="8" t="str">
        <f aca="false">IF(AND(I217&gt;=120,I217&lt;=155),"OK",IF(I217&lt;120,"Corta","Larga"))</f>
        <v>OK</v>
      </c>
      <c r="K217" s="10" t="s">
        <v>1366</v>
      </c>
      <c r="L217" s="9" t="s">
        <v>755</v>
      </c>
    </row>
    <row r="218" customFormat="false" ht="35.05" hidden="false" customHeight="false" outlineLevel="0" collapsed="false">
      <c r="A218" s="8" t="s">
        <v>1367</v>
      </c>
      <c r="B218" s="8" t="s">
        <v>1337</v>
      </c>
      <c r="C218" s="9" t="s">
        <v>1368</v>
      </c>
      <c r="D218" s="10" t="s">
        <v>1369</v>
      </c>
      <c r="E218" s="10" t="s">
        <v>1370</v>
      </c>
      <c r="F218" s="8" t="n">
        <f aca="false">LEN(E218)</f>
        <v>59</v>
      </c>
      <c r="G218" s="8" t="str">
        <f aca="false">IF(F218&lt;=60,"OK","Largo")</f>
        <v>OK</v>
      </c>
      <c r="H218" s="10" t="s">
        <v>1371</v>
      </c>
      <c r="I218" s="8" t="n">
        <f aca="false">LEN(H218)</f>
        <v>146</v>
      </c>
      <c r="J218" s="8" t="str">
        <f aca="false">IF(AND(I218&gt;=120,I218&lt;=155),"OK",IF(I218&lt;120,"Corta","Larga"))</f>
        <v>OK</v>
      </c>
      <c r="K218" s="10" t="s">
        <v>1372</v>
      </c>
      <c r="L218" s="9" t="s">
        <v>755</v>
      </c>
    </row>
    <row r="219" customFormat="false" ht="35.05" hidden="false" customHeight="false" outlineLevel="0" collapsed="false">
      <c r="A219" s="8" t="s">
        <v>1373</v>
      </c>
      <c r="B219" s="8" t="s">
        <v>1337</v>
      </c>
      <c r="C219" s="9" t="s">
        <v>1374</v>
      </c>
      <c r="D219" s="10" t="s">
        <v>1375</v>
      </c>
      <c r="E219" s="10" t="s">
        <v>1376</v>
      </c>
      <c r="F219" s="8" t="n">
        <f aca="false">LEN(E219)</f>
        <v>60</v>
      </c>
      <c r="G219" s="8" t="str">
        <f aca="false">IF(F219&lt;=60,"OK","Largo")</f>
        <v>OK</v>
      </c>
      <c r="H219" s="10" t="s">
        <v>1377</v>
      </c>
      <c r="I219" s="8" t="n">
        <f aca="false">LEN(H219)</f>
        <v>147</v>
      </c>
      <c r="J219" s="8" t="str">
        <f aca="false">IF(AND(I219&gt;=120,I219&lt;=155),"OK",IF(I219&lt;120,"Corta","Larga"))</f>
        <v>OK</v>
      </c>
      <c r="K219" s="10" t="s">
        <v>1378</v>
      </c>
      <c r="L219" s="9" t="s">
        <v>755</v>
      </c>
    </row>
    <row r="220" customFormat="false" ht="35.05" hidden="false" customHeight="false" outlineLevel="0" collapsed="false">
      <c r="A220" s="8" t="s">
        <v>1379</v>
      </c>
      <c r="B220" s="8" t="s">
        <v>1337</v>
      </c>
      <c r="C220" s="9" t="s">
        <v>1380</v>
      </c>
      <c r="D220" s="10" t="s">
        <v>1381</v>
      </c>
      <c r="E220" s="10" t="s">
        <v>1382</v>
      </c>
      <c r="F220" s="8" t="n">
        <f aca="false">LEN(E220)</f>
        <v>55</v>
      </c>
      <c r="G220" s="8" t="str">
        <f aca="false">IF(F220&lt;=60,"OK","Largo")</f>
        <v>OK</v>
      </c>
      <c r="H220" s="10" t="s">
        <v>1383</v>
      </c>
      <c r="I220" s="8" t="n">
        <f aca="false">LEN(H220)</f>
        <v>142</v>
      </c>
      <c r="J220" s="8" t="str">
        <f aca="false">IF(AND(I220&gt;=120,I220&lt;=155),"OK",IF(I220&lt;120,"Corta","Larga"))</f>
        <v>OK</v>
      </c>
      <c r="K220" s="10" t="s">
        <v>1384</v>
      </c>
      <c r="L220" s="9" t="s">
        <v>755</v>
      </c>
    </row>
    <row r="221" customFormat="false" ht="35.05" hidden="false" customHeight="false" outlineLevel="0" collapsed="false">
      <c r="A221" s="8" t="s">
        <v>1385</v>
      </c>
      <c r="B221" s="8" t="s">
        <v>1337</v>
      </c>
      <c r="C221" s="9" t="s">
        <v>1386</v>
      </c>
      <c r="D221" s="10" t="s">
        <v>1387</v>
      </c>
      <c r="E221" s="10" t="s">
        <v>1388</v>
      </c>
      <c r="F221" s="8" t="n">
        <f aca="false">LEN(E221)</f>
        <v>53</v>
      </c>
      <c r="G221" s="8" t="str">
        <f aca="false">IF(F221&lt;=60,"OK","Largo")</f>
        <v>OK</v>
      </c>
      <c r="H221" s="10" t="s">
        <v>1389</v>
      </c>
      <c r="I221" s="8" t="n">
        <f aca="false">LEN(H221)</f>
        <v>140</v>
      </c>
      <c r="J221" s="8" t="str">
        <f aca="false">IF(AND(I221&gt;=120,I221&lt;=155),"OK",IF(I221&lt;120,"Corta","Larga"))</f>
        <v>OK</v>
      </c>
      <c r="K221" s="10" t="s">
        <v>1390</v>
      </c>
      <c r="L221" s="9" t="s">
        <v>755</v>
      </c>
    </row>
    <row r="222" customFormat="false" ht="35.05" hidden="false" customHeight="false" outlineLevel="0" collapsed="false">
      <c r="A222" s="8" t="s">
        <v>1391</v>
      </c>
      <c r="B222" s="8" t="s">
        <v>1337</v>
      </c>
      <c r="C222" s="9" t="s">
        <v>1392</v>
      </c>
      <c r="D222" s="10" t="s">
        <v>1393</v>
      </c>
      <c r="E222" s="10" t="s">
        <v>1394</v>
      </c>
      <c r="F222" s="8" t="n">
        <f aca="false">LEN(E222)</f>
        <v>53</v>
      </c>
      <c r="G222" s="8" t="str">
        <f aca="false">IF(F222&lt;=60,"OK","Largo")</f>
        <v>OK</v>
      </c>
      <c r="H222" s="10" t="s">
        <v>1395</v>
      </c>
      <c r="I222" s="8" t="n">
        <f aca="false">LEN(H222)</f>
        <v>140</v>
      </c>
      <c r="J222" s="8" t="str">
        <f aca="false">IF(AND(I222&gt;=120,I222&lt;=155),"OK",IF(I222&lt;120,"Corta","Larga"))</f>
        <v>OK</v>
      </c>
      <c r="K222" s="10" t="s">
        <v>1396</v>
      </c>
      <c r="L222" s="9" t="s">
        <v>755</v>
      </c>
    </row>
    <row r="223" customFormat="false" ht="35.05" hidden="false" customHeight="false" outlineLevel="0" collapsed="false">
      <c r="A223" s="8" t="s">
        <v>1397</v>
      </c>
      <c r="B223" s="8" t="s">
        <v>1337</v>
      </c>
      <c r="C223" s="9" t="s">
        <v>1398</v>
      </c>
      <c r="D223" s="10" t="s">
        <v>1399</v>
      </c>
      <c r="E223" s="10" t="s">
        <v>1400</v>
      </c>
      <c r="F223" s="8" t="n">
        <f aca="false">LEN(E223)</f>
        <v>53</v>
      </c>
      <c r="G223" s="8" t="str">
        <f aca="false">IF(F223&lt;=60,"OK","Largo")</f>
        <v>OK</v>
      </c>
      <c r="H223" s="10" t="s">
        <v>1401</v>
      </c>
      <c r="I223" s="8" t="n">
        <f aca="false">LEN(H223)</f>
        <v>149</v>
      </c>
      <c r="J223" s="8" t="str">
        <f aca="false">IF(AND(I223&gt;=120,I223&lt;=155),"OK",IF(I223&lt;120,"Corta","Larga"))</f>
        <v>OK</v>
      </c>
      <c r="K223" s="10" t="s">
        <v>1402</v>
      </c>
      <c r="L223" s="9" t="s">
        <v>755</v>
      </c>
    </row>
    <row r="224" customFormat="false" ht="35.05" hidden="false" customHeight="false" outlineLevel="0" collapsed="false">
      <c r="A224" s="8" t="s">
        <v>1403</v>
      </c>
      <c r="B224" s="8" t="s">
        <v>1404</v>
      </c>
      <c r="C224" s="9" t="s">
        <v>1405</v>
      </c>
      <c r="D224" s="10" t="s">
        <v>1406</v>
      </c>
      <c r="E224" s="10" t="s">
        <v>1407</v>
      </c>
      <c r="F224" s="8" t="n">
        <f aca="false">LEN(E224)</f>
        <v>60</v>
      </c>
      <c r="G224" s="8" t="str">
        <f aca="false">IF(F224&lt;=60,"OK","Largo")</f>
        <v>OK</v>
      </c>
      <c r="H224" s="10" t="s">
        <v>1408</v>
      </c>
      <c r="I224" s="8" t="n">
        <f aca="false">LEN(H224)</f>
        <v>147</v>
      </c>
      <c r="J224" s="8" t="str">
        <f aca="false">IF(AND(I224&gt;=120,I224&lt;=155),"OK",IF(I224&lt;120,"Corta","Larga"))</f>
        <v>OK</v>
      </c>
      <c r="K224" s="10" t="s">
        <v>1409</v>
      </c>
      <c r="L224" s="9" t="s">
        <v>755</v>
      </c>
    </row>
    <row r="225" customFormat="false" ht="35.05" hidden="false" customHeight="false" outlineLevel="0" collapsed="false">
      <c r="A225" s="8" t="s">
        <v>1410</v>
      </c>
      <c r="B225" s="8" t="s">
        <v>1404</v>
      </c>
      <c r="C225" s="9" t="s">
        <v>1411</v>
      </c>
      <c r="D225" s="10" t="s">
        <v>1412</v>
      </c>
      <c r="E225" s="10" t="s">
        <v>1413</v>
      </c>
      <c r="F225" s="8" t="n">
        <f aca="false">LEN(E225)</f>
        <v>56</v>
      </c>
      <c r="G225" s="8" t="str">
        <f aca="false">IF(F225&lt;=60,"OK","Largo")</f>
        <v>OK</v>
      </c>
      <c r="H225" s="10" t="s">
        <v>1414</v>
      </c>
      <c r="I225" s="8" t="n">
        <f aca="false">LEN(H225)</f>
        <v>143</v>
      </c>
      <c r="J225" s="8" t="str">
        <f aca="false">IF(AND(I225&gt;=120,I225&lt;=155),"OK",IF(I225&lt;120,"Corta","Larga"))</f>
        <v>OK</v>
      </c>
      <c r="K225" s="10" t="s">
        <v>1415</v>
      </c>
      <c r="L225" s="9" t="s">
        <v>755</v>
      </c>
    </row>
    <row r="226" customFormat="false" ht="35.05" hidden="false" customHeight="false" outlineLevel="0" collapsed="false">
      <c r="A226" s="8" t="s">
        <v>1416</v>
      </c>
      <c r="B226" s="8" t="s">
        <v>1404</v>
      </c>
      <c r="C226" s="9" t="s">
        <v>1417</v>
      </c>
      <c r="D226" s="10" t="s">
        <v>1418</v>
      </c>
      <c r="E226" s="10" t="s">
        <v>1419</v>
      </c>
      <c r="F226" s="8" t="n">
        <f aca="false">LEN(E226)</f>
        <v>56</v>
      </c>
      <c r="G226" s="8" t="str">
        <f aca="false">IF(F226&lt;=60,"OK","Largo")</f>
        <v>OK</v>
      </c>
      <c r="H226" s="10" t="s">
        <v>1420</v>
      </c>
      <c r="I226" s="8" t="n">
        <f aca="false">LEN(H226)</f>
        <v>143</v>
      </c>
      <c r="J226" s="8" t="str">
        <f aca="false">IF(AND(I226&gt;=120,I226&lt;=155),"OK",IF(I226&lt;120,"Corta","Larga"))</f>
        <v>OK</v>
      </c>
      <c r="K226" s="10" t="s">
        <v>1421</v>
      </c>
      <c r="L226" s="9" t="s">
        <v>755</v>
      </c>
    </row>
    <row r="227" customFormat="false" ht="23.85" hidden="false" customHeight="false" outlineLevel="0" collapsed="false">
      <c r="A227" s="8" t="s">
        <v>1422</v>
      </c>
      <c r="B227" s="8" t="s">
        <v>1404</v>
      </c>
      <c r="C227" s="9" t="s">
        <v>1423</v>
      </c>
      <c r="D227" s="10" t="s">
        <v>1424</v>
      </c>
      <c r="E227" s="10" t="s">
        <v>1425</v>
      </c>
      <c r="F227" s="8" t="n">
        <f aca="false">LEN(E227)</f>
        <v>52</v>
      </c>
      <c r="G227" s="8" t="str">
        <f aca="false">IF(F227&lt;=60,"OK","Largo")</f>
        <v>OK</v>
      </c>
      <c r="H227" s="10" t="s">
        <v>1426</v>
      </c>
      <c r="I227" s="8" t="n">
        <f aca="false">LEN(H227)</f>
        <v>139</v>
      </c>
      <c r="J227" s="8" t="str">
        <f aca="false">IF(AND(I227&gt;=120,I227&lt;=155),"OK",IF(I227&lt;120,"Corta","Larga"))</f>
        <v>OK</v>
      </c>
      <c r="K227" s="10" t="s">
        <v>1427</v>
      </c>
      <c r="L227" s="9" t="s">
        <v>755</v>
      </c>
    </row>
    <row r="228" customFormat="false" ht="35.05" hidden="false" customHeight="false" outlineLevel="0" collapsed="false">
      <c r="A228" s="8" t="s">
        <v>1428</v>
      </c>
      <c r="B228" s="8" t="s">
        <v>566</v>
      </c>
      <c r="C228" s="9" t="s">
        <v>1429</v>
      </c>
      <c r="D228" s="10" t="s">
        <v>1430</v>
      </c>
      <c r="E228" s="10" t="s">
        <v>1431</v>
      </c>
      <c r="F228" s="8" t="n">
        <f aca="false">LEN(E228)</f>
        <v>49</v>
      </c>
      <c r="G228" s="8" t="str">
        <f aca="false">IF(F228&lt;=60,"OK","Largo")</f>
        <v>OK</v>
      </c>
      <c r="H228" s="10" t="s">
        <v>1432</v>
      </c>
      <c r="I228" s="8" t="n">
        <f aca="false">LEN(H228)</f>
        <v>154</v>
      </c>
      <c r="J228" s="8" t="str">
        <f aca="false">IF(AND(I228&gt;=120,I228&lt;=155),"OK",IF(I228&lt;120,"Corta","Larga"))</f>
        <v>OK</v>
      </c>
      <c r="K228" s="10" t="s">
        <v>1433</v>
      </c>
      <c r="L228" s="9" t="s">
        <v>755</v>
      </c>
    </row>
    <row r="229" customFormat="false" ht="35.05" hidden="false" customHeight="false" outlineLevel="0" collapsed="false">
      <c r="A229" s="8" t="s">
        <v>1434</v>
      </c>
      <c r="B229" s="8" t="s">
        <v>566</v>
      </c>
      <c r="C229" s="9" t="s">
        <v>1435</v>
      </c>
      <c r="D229" s="10" t="s">
        <v>1436</v>
      </c>
      <c r="E229" s="10" t="s">
        <v>1437</v>
      </c>
      <c r="F229" s="8" t="n">
        <f aca="false">LEN(E229)</f>
        <v>54</v>
      </c>
      <c r="G229" s="8" t="str">
        <f aca="false">IF(F229&lt;=60,"OK","Largo")</f>
        <v>OK</v>
      </c>
      <c r="H229" s="10" t="s">
        <v>1438</v>
      </c>
      <c r="I229" s="8" t="n">
        <f aca="false">LEN(H229)</f>
        <v>150</v>
      </c>
      <c r="J229" s="8" t="str">
        <f aca="false">IF(AND(I229&gt;=120,I229&lt;=155),"OK",IF(I229&lt;120,"Corta","Larga"))</f>
        <v>OK</v>
      </c>
      <c r="K229" s="10" t="s">
        <v>1439</v>
      </c>
      <c r="L229" s="9" t="s">
        <v>755</v>
      </c>
    </row>
    <row r="230" customFormat="false" ht="35.05" hidden="false" customHeight="false" outlineLevel="0" collapsed="false">
      <c r="A230" s="8" t="s">
        <v>1440</v>
      </c>
      <c r="B230" s="8" t="s">
        <v>566</v>
      </c>
      <c r="C230" s="9" t="s">
        <v>1441</v>
      </c>
      <c r="D230" s="10" t="s">
        <v>1442</v>
      </c>
      <c r="E230" s="10" t="s">
        <v>1443</v>
      </c>
      <c r="F230" s="8" t="n">
        <f aca="false">LEN(E230)</f>
        <v>55</v>
      </c>
      <c r="G230" s="8" t="str">
        <f aca="false">IF(F230&lt;=60,"OK","Largo")</f>
        <v>OK</v>
      </c>
      <c r="H230" s="10" t="s">
        <v>1444</v>
      </c>
      <c r="I230" s="8" t="n">
        <f aca="false">LEN(H230)</f>
        <v>151</v>
      </c>
      <c r="J230" s="8" t="str">
        <f aca="false">IF(AND(I230&gt;=120,I230&lt;=155),"OK",IF(I230&lt;120,"Corta","Larga"))</f>
        <v>OK</v>
      </c>
      <c r="K230" s="10" t="s">
        <v>1445</v>
      </c>
      <c r="L230" s="9" t="s">
        <v>755</v>
      </c>
    </row>
    <row r="231" customFormat="false" ht="35.05" hidden="false" customHeight="false" outlineLevel="0" collapsed="false">
      <c r="A231" s="8" t="s">
        <v>1446</v>
      </c>
      <c r="B231" s="8" t="s">
        <v>566</v>
      </c>
      <c r="C231" s="9" t="s">
        <v>1447</v>
      </c>
      <c r="D231" s="10" t="s">
        <v>1448</v>
      </c>
      <c r="E231" s="10" t="s">
        <v>1449</v>
      </c>
      <c r="F231" s="8" t="n">
        <f aca="false">LEN(E231)</f>
        <v>53</v>
      </c>
      <c r="G231" s="8" t="str">
        <f aca="false">IF(F231&lt;=60,"OK","Largo")</f>
        <v>OK</v>
      </c>
      <c r="H231" s="10" t="s">
        <v>1450</v>
      </c>
      <c r="I231" s="8" t="n">
        <f aca="false">LEN(H231)</f>
        <v>140</v>
      </c>
      <c r="J231" s="8" t="str">
        <f aca="false">IF(AND(I231&gt;=120,I231&lt;=155),"OK",IF(I231&lt;120,"Corta","Larga"))</f>
        <v>OK</v>
      </c>
      <c r="K231" s="10" t="s">
        <v>1451</v>
      </c>
      <c r="L231" s="9" t="s">
        <v>755</v>
      </c>
    </row>
    <row r="232" customFormat="false" ht="35.05" hidden="false" customHeight="false" outlineLevel="0" collapsed="false">
      <c r="A232" s="8" t="s">
        <v>1452</v>
      </c>
      <c r="B232" s="8" t="s">
        <v>566</v>
      </c>
      <c r="C232" s="9" t="s">
        <v>1453</v>
      </c>
      <c r="D232" s="10" t="s">
        <v>1454</v>
      </c>
      <c r="E232" s="10" t="s">
        <v>1455</v>
      </c>
      <c r="F232" s="8" t="n">
        <f aca="false">LEN(E232)</f>
        <v>53</v>
      </c>
      <c r="G232" s="8" t="str">
        <f aca="false">IF(F232&lt;=60,"OK","Largo")</f>
        <v>OK</v>
      </c>
      <c r="H232" s="10" t="s">
        <v>1456</v>
      </c>
      <c r="I232" s="8" t="n">
        <f aca="false">LEN(H232)</f>
        <v>140</v>
      </c>
      <c r="J232" s="8" t="str">
        <f aca="false">IF(AND(I232&gt;=120,I232&lt;=155),"OK",IF(I232&lt;120,"Corta","Larga"))</f>
        <v>OK</v>
      </c>
      <c r="K232" s="10" t="s">
        <v>1457</v>
      </c>
      <c r="L232" s="9" t="s">
        <v>755</v>
      </c>
    </row>
    <row r="233" customFormat="false" ht="35.05" hidden="false" customHeight="false" outlineLevel="0" collapsed="false">
      <c r="A233" s="8" t="s">
        <v>1458</v>
      </c>
      <c r="B233" s="8" t="s">
        <v>566</v>
      </c>
      <c r="C233" s="9" t="s">
        <v>1459</v>
      </c>
      <c r="D233" s="10" t="s">
        <v>1460</v>
      </c>
      <c r="E233" s="10" t="s">
        <v>1461</v>
      </c>
      <c r="F233" s="8" t="n">
        <f aca="false">LEN(E233)</f>
        <v>53</v>
      </c>
      <c r="G233" s="8" t="str">
        <f aca="false">IF(F233&lt;=60,"OK","Largo")</f>
        <v>OK</v>
      </c>
      <c r="H233" s="10" t="s">
        <v>1462</v>
      </c>
      <c r="I233" s="8" t="n">
        <f aca="false">LEN(H233)</f>
        <v>140</v>
      </c>
      <c r="J233" s="8" t="str">
        <f aca="false">IF(AND(I233&gt;=120,I233&lt;=155),"OK",IF(I233&lt;120,"Corta","Larga"))</f>
        <v>OK</v>
      </c>
      <c r="K233" s="10" t="s">
        <v>1463</v>
      </c>
      <c r="L233" s="9" t="s">
        <v>755</v>
      </c>
    </row>
    <row r="234" customFormat="false" ht="35.05" hidden="false" customHeight="false" outlineLevel="0" collapsed="false">
      <c r="A234" s="8" t="s">
        <v>1464</v>
      </c>
      <c r="B234" s="8" t="s">
        <v>566</v>
      </c>
      <c r="C234" s="9" t="s">
        <v>1465</v>
      </c>
      <c r="D234" s="10" t="s">
        <v>1466</v>
      </c>
      <c r="E234" s="10" t="s">
        <v>1467</v>
      </c>
      <c r="F234" s="8" t="n">
        <f aca="false">LEN(E234)</f>
        <v>56</v>
      </c>
      <c r="G234" s="8" t="str">
        <f aca="false">IF(F234&lt;=60,"OK","Largo")</f>
        <v>OK</v>
      </c>
      <c r="H234" s="10" t="s">
        <v>1468</v>
      </c>
      <c r="I234" s="8" t="n">
        <f aca="false">LEN(H234)</f>
        <v>143</v>
      </c>
      <c r="J234" s="8" t="str">
        <f aca="false">IF(AND(I234&gt;=120,I234&lt;=155),"OK",IF(I234&lt;120,"Corta","Larga"))</f>
        <v>OK</v>
      </c>
      <c r="K234" s="10" t="s">
        <v>1469</v>
      </c>
      <c r="L234" s="9" t="s">
        <v>755</v>
      </c>
    </row>
    <row r="235" customFormat="false" ht="35.05" hidden="false" customHeight="false" outlineLevel="0" collapsed="false">
      <c r="A235" s="8" t="s">
        <v>1470</v>
      </c>
      <c r="B235" s="8" t="s">
        <v>566</v>
      </c>
      <c r="C235" s="9" t="s">
        <v>1471</v>
      </c>
      <c r="D235" s="10" t="s">
        <v>1472</v>
      </c>
      <c r="E235" s="10" t="s">
        <v>1473</v>
      </c>
      <c r="F235" s="8" t="n">
        <f aca="false">LEN(E235)</f>
        <v>54</v>
      </c>
      <c r="G235" s="8" t="str">
        <f aca="false">IF(F235&lt;=60,"OK","Largo")</f>
        <v>OK</v>
      </c>
      <c r="H235" s="10" t="s">
        <v>1474</v>
      </c>
      <c r="I235" s="8" t="n">
        <f aca="false">LEN(H235)</f>
        <v>150</v>
      </c>
      <c r="J235" s="8" t="str">
        <f aca="false">IF(AND(I235&gt;=120,I235&lt;=155),"OK",IF(I235&lt;120,"Corta","Larga"))</f>
        <v>OK</v>
      </c>
      <c r="K235" s="10" t="s">
        <v>1475</v>
      </c>
      <c r="L235" s="9" t="s">
        <v>755</v>
      </c>
    </row>
    <row r="236" customFormat="false" ht="35.05" hidden="false" customHeight="false" outlineLevel="0" collapsed="false">
      <c r="A236" s="8" t="s">
        <v>1476</v>
      </c>
      <c r="B236" s="8" t="s">
        <v>566</v>
      </c>
      <c r="C236" s="9" t="s">
        <v>1477</v>
      </c>
      <c r="D236" s="10" t="s">
        <v>1478</v>
      </c>
      <c r="E236" s="10" t="s">
        <v>1479</v>
      </c>
      <c r="F236" s="8" t="n">
        <f aca="false">LEN(E236)</f>
        <v>53</v>
      </c>
      <c r="G236" s="8" t="str">
        <f aca="false">IF(F236&lt;=60,"OK","Largo")</f>
        <v>OK</v>
      </c>
      <c r="H236" s="10" t="s">
        <v>1480</v>
      </c>
      <c r="I236" s="8" t="n">
        <f aca="false">LEN(H236)</f>
        <v>149</v>
      </c>
      <c r="J236" s="8" t="str">
        <f aca="false">IF(AND(I236&gt;=120,I236&lt;=155),"OK",IF(I236&lt;120,"Corta","Larga"))</f>
        <v>OK</v>
      </c>
      <c r="K236" s="10" t="s">
        <v>1481</v>
      </c>
      <c r="L236" s="9" t="s">
        <v>755</v>
      </c>
    </row>
    <row r="237" customFormat="false" ht="35.05" hidden="false" customHeight="false" outlineLevel="0" collapsed="false">
      <c r="A237" s="8" t="s">
        <v>1482</v>
      </c>
      <c r="B237" s="8" t="s">
        <v>1483</v>
      </c>
      <c r="C237" s="9" t="s">
        <v>1484</v>
      </c>
      <c r="D237" s="10" t="s">
        <v>1484</v>
      </c>
      <c r="E237" s="10" t="s">
        <v>1485</v>
      </c>
      <c r="F237" s="8" t="n">
        <f aca="false">LEN(E237)</f>
        <v>46</v>
      </c>
      <c r="G237" s="8" t="str">
        <f aca="false">IF(F237&lt;=60,"OK","Largo")</f>
        <v>OK</v>
      </c>
      <c r="H237" s="10" t="s">
        <v>1486</v>
      </c>
      <c r="I237" s="8" t="n">
        <f aca="false">LEN(H237)</f>
        <v>151</v>
      </c>
      <c r="J237" s="8" t="str">
        <f aca="false">IF(AND(I237&gt;=120,I237&lt;=155),"OK",IF(I237&lt;120,"Corta","Larga"))</f>
        <v>OK</v>
      </c>
      <c r="K237" s="10" t="s">
        <v>1487</v>
      </c>
      <c r="L237" s="9"/>
    </row>
    <row r="238" customFormat="false" ht="35.05" hidden="false" customHeight="false" outlineLevel="0" collapsed="false">
      <c r="A238" s="8" t="s">
        <v>1488</v>
      </c>
      <c r="B238" s="8" t="s">
        <v>1483</v>
      </c>
      <c r="C238" s="9" t="s">
        <v>1489</v>
      </c>
      <c r="D238" s="10" t="s">
        <v>1490</v>
      </c>
      <c r="E238" s="10" t="s">
        <v>1491</v>
      </c>
      <c r="F238" s="8" t="n">
        <f aca="false">LEN(E238)</f>
        <v>48</v>
      </c>
      <c r="G238" s="8" t="str">
        <f aca="false">IF(F238&lt;=60,"OK","Largo")</f>
        <v>OK</v>
      </c>
      <c r="H238" s="10" t="s">
        <v>1492</v>
      </c>
      <c r="I238" s="8" t="n">
        <f aca="false">LEN(H238)</f>
        <v>153</v>
      </c>
      <c r="J238" s="8" t="str">
        <f aca="false">IF(AND(I238&gt;=120,I238&lt;=155),"OK",IF(I238&lt;120,"Corta","Larga"))</f>
        <v>OK</v>
      </c>
      <c r="K238" s="10" t="s">
        <v>1493</v>
      </c>
      <c r="L238" s="9" t="s">
        <v>755</v>
      </c>
    </row>
    <row r="239" customFormat="false" ht="35.05" hidden="false" customHeight="false" outlineLevel="0" collapsed="false">
      <c r="A239" s="8" t="s">
        <v>1494</v>
      </c>
      <c r="B239" s="8" t="s">
        <v>1483</v>
      </c>
      <c r="C239" s="9" t="s">
        <v>1495</v>
      </c>
      <c r="D239" s="10" t="s">
        <v>1496</v>
      </c>
      <c r="E239" s="10" t="s">
        <v>1497</v>
      </c>
      <c r="F239" s="8" t="n">
        <f aca="false">LEN(E239)</f>
        <v>56</v>
      </c>
      <c r="G239" s="8" t="str">
        <f aca="false">IF(F239&lt;=60,"OK","Largo")</f>
        <v>OK</v>
      </c>
      <c r="H239" s="10" t="s">
        <v>1498</v>
      </c>
      <c r="I239" s="8" t="n">
        <f aca="false">LEN(H239)</f>
        <v>152</v>
      </c>
      <c r="J239" s="8" t="str">
        <f aca="false">IF(AND(I239&gt;=120,I239&lt;=155),"OK",IF(I239&lt;120,"Corta","Larga"))</f>
        <v>OK</v>
      </c>
      <c r="K239" s="10" t="s">
        <v>1499</v>
      </c>
      <c r="L239" s="9" t="s">
        <v>755</v>
      </c>
    </row>
    <row r="240" customFormat="false" ht="23.85" hidden="false" customHeight="false" outlineLevel="0" collapsed="false">
      <c r="A240" s="8" t="s">
        <v>1500</v>
      </c>
      <c r="B240" s="8" t="s">
        <v>1483</v>
      </c>
      <c r="C240" s="9" t="s">
        <v>1501</v>
      </c>
      <c r="D240" s="10" t="s">
        <v>1502</v>
      </c>
      <c r="E240" s="10" t="s">
        <v>1503</v>
      </c>
      <c r="F240" s="8" t="n">
        <f aca="false">LEN(E240)</f>
        <v>51</v>
      </c>
      <c r="G240" s="8" t="str">
        <f aca="false">IF(F240&lt;=60,"OK","Largo")</f>
        <v>OK</v>
      </c>
      <c r="H240" s="10" t="s">
        <v>1504</v>
      </c>
      <c r="I240" s="8" t="n">
        <f aca="false">LEN(H240)</f>
        <v>138</v>
      </c>
      <c r="J240" s="8" t="str">
        <f aca="false">IF(AND(I240&gt;=120,I240&lt;=155),"OK",IF(I240&lt;120,"Corta","Larga"))</f>
        <v>OK</v>
      </c>
      <c r="K240" s="10" t="s">
        <v>1505</v>
      </c>
      <c r="L240" s="9" t="s">
        <v>755</v>
      </c>
    </row>
    <row r="241" customFormat="false" ht="35.05" hidden="false" customHeight="false" outlineLevel="0" collapsed="false">
      <c r="A241" s="8" t="s">
        <v>1506</v>
      </c>
      <c r="B241" s="8" t="s">
        <v>1483</v>
      </c>
      <c r="C241" s="9" t="s">
        <v>1507</v>
      </c>
      <c r="D241" s="10" t="s">
        <v>1508</v>
      </c>
      <c r="E241" s="10" t="s">
        <v>1509</v>
      </c>
      <c r="F241" s="8" t="n">
        <f aca="false">LEN(E241)</f>
        <v>55</v>
      </c>
      <c r="G241" s="8" t="str">
        <f aca="false">IF(F241&lt;=60,"OK","Largo")</f>
        <v>OK</v>
      </c>
      <c r="H241" s="10" t="s">
        <v>1510</v>
      </c>
      <c r="I241" s="8" t="n">
        <f aca="false">LEN(H241)</f>
        <v>142</v>
      </c>
      <c r="J241" s="8" t="str">
        <f aca="false">IF(AND(I241&gt;=120,I241&lt;=155),"OK",IF(I241&lt;120,"Corta","Larga"))</f>
        <v>OK</v>
      </c>
      <c r="K241" s="10" t="s">
        <v>1511</v>
      </c>
      <c r="L241" s="9" t="s">
        <v>755</v>
      </c>
    </row>
    <row r="242" customFormat="false" ht="35.05" hidden="false" customHeight="false" outlineLevel="0" collapsed="false">
      <c r="A242" s="8" t="s">
        <v>1512</v>
      </c>
      <c r="B242" s="8" t="s">
        <v>1483</v>
      </c>
      <c r="C242" s="9" t="s">
        <v>1513</v>
      </c>
      <c r="D242" s="10" t="s">
        <v>1514</v>
      </c>
      <c r="E242" s="10" t="s">
        <v>1515</v>
      </c>
      <c r="F242" s="8" t="n">
        <f aca="false">LEN(E242)</f>
        <v>56</v>
      </c>
      <c r="G242" s="8" t="str">
        <f aca="false">IF(F242&lt;=60,"OK","Largo")</f>
        <v>OK</v>
      </c>
      <c r="H242" s="10" t="s">
        <v>1516</v>
      </c>
      <c r="I242" s="8" t="n">
        <f aca="false">LEN(H242)</f>
        <v>143</v>
      </c>
      <c r="J242" s="8" t="str">
        <f aca="false">IF(AND(I242&gt;=120,I242&lt;=155),"OK",IF(I242&lt;120,"Corta","Larga"))</f>
        <v>OK</v>
      </c>
      <c r="K242" s="10" t="s">
        <v>1517</v>
      </c>
      <c r="L242" s="9" t="s">
        <v>755</v>
      </c>
    </row>
    <row r="243" customFormat="false" ht="46.25" hidden="false" customHeight="false" outlineLevel="0" collapsed="false">
      <c r="A243" s="8" t="s">
        <v>1518</v>
      </c>
      <c r="B243" s="8" t="s">
        <v>559</v>
      </c>
      <c r="C243" s="9" t="s">
        <v>1519</v>
      </c>
      <c r="D243" s="10" t="s">
        <v>1520</v>
      </c>
      <c r="E243" s="10" t="s">
        <v>1521</v>
      </c>
      <c r="F243" s="8" t="n">
        <f aca="false">LEN(E243)</f>
        <v>50</v>
      </c>
      <c r="G243" s="8" t="str">
        <f aca="false">IF(F243&lt;=60,"OK","Largo")</f>
        <v>OK</v>
      </c>
      <c r="H243" s="10" t="s">
        <v>1522</v>
      </c>
      <c r="I243" s="8" t="n">
        <f aca="false">LEN(H243)</f>
        <v>134</v>
      </c>
      <c r="J243" s="8" t="str">
        <f aca="false">IF(AND(I243&gt;=120,I243&lt;=155),"OK",IF(I243&lt;120,"Corta","Larga"))</f>
        <v>OK</v>
      </c>
      <c r="K243" s="10" t="s">
        <v>1523</v>
      </c>
      <c r="L243" s="9" t="s">
        <v>1524</v>
      </c>
    </row>
  </sheetData>
  <autoFilter ref="A1:L2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52"/>
    <col collapsed="false" customWidth="true" hidden="false" outlineLevel="0" max="7" min="7" style="0" width="50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62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22"/>
  </cols>
  <sheetData>
    <row r="1" customFormat="false" ht="31.5" hidden="false" customHeight="true" outlineLevel="0" collapsed="false">
      <c r="A1" s="7" t="s">
        <v>47</v>
      </c>
      <c r="B1" s="7" t="s">
        <v>1525</v>
      </c>
      <c r="C1" s="7" t="s">
        <v>1526</v>
      </c>
      <c r="D1" s="7" t="s">
        <v>1527</v>
      </c>
      <c r="E1" s="7" t="s">
        <v>1528</v>
      </c>
      <c r="F1" s="7" t="s">
        <v>1529</v>
      </c>
      <c r="G1" s="7" t="s">
        <v>51</v>
      </c>
      <c r="H1" s="7" t="s">
        <v>1530</v>
      </c>
      <c r="I1" s="7" t="s">
        <v>53</v>
      </c>
      <c r="J1" s="7" t="s">
        <v>54</v>
      </c>
      <c r="K1" s="7" t="s">
        <v>55</v>
      </c>
      <c r="L1" s="7" t="s">
        <v>56</v>
      </c>
      <c r="M1" s="7" t="s">
        <v>1531</v>
      </c>
    </row>
    <row r="2" customFormat="false" ht="23.85" hidden="false" customHeight="false" outlineLevel="0" collapsed="false">
      <c r="A2" s="8" t="s">
        <v>1532</v>
      </c>
      <c r="B2" s="9" t="s">
        <v>1533</v>
      </c>
      <c r="C2" s="8" t="n">
        <v>0</v>
      </c>
      <c r="D2" s="8" t="s">
        <v>1534</v>
      </c>
      <c r="E2" s="8" t="s">
        <v>1535</v>
      </c>
      <c r="F2" s="9" t="s">
        <v>1536</v>
      </c>
      <c r="G2" s="10" t="s">
        <v>1537</v>
      </c>
      <c r="H2" s="8" t="n">
        <f aca="false">LEN(G2)</f>
        <v>57</v>
      </c>
      <c r="I2" s="8" t="str">
        <f aca="false">IF(H2&lt;=60,"OK","Largo")</f>
        <v>OK</v>
      </c>
      <c r="J2" s="10" t="s">
        <v>1538</v>
      </c>
      <c r="K2" s="8" t="n">
        <f aca="false">LEN(J2)</f>
        <v>130</v>
      </c>
      <c r="L2" s="8" t="str">
        <f aca="false">IF(AND(K2&gt;=120,K2&lt;=155),"OK",IF(K2&lt;120,"Corta","Larga"))</f>
        <v>OK</v>
      </c>
      <c r="M2" s="9" t="s">
        <v>1539</v>
      </c>
    </row>
    <row r="3" customFormat="false" ht="23.85" hidden="false" customHeight="false" outlineLevel="0" collapsed="false">
      <c r="A3" s="8" t="s">
        <v>1540</v>
      </c>
      <c r="B3" s="9" t="s">
        <v>1541</v>
      </c>
      <c r="C3" s="8" t="n">
        <v>5</v>
      </c>
      <c r="D3" s="8" t="s">
        <v>1534</v>
      </c>
      <c r="E3" s="8" t="s">
        <v>1542</v>
      </c>
      <c r="F3" s="9" t="s">
        <v>1543</v>
      </c>
      <c r="G3" s="10" t="s">
        <v>1544</v>
      </c>
      <c r="H3" s="8" t="n">
        <f aca="false">LEN(G3)</f>
        <v>38</v>
      </c>
      <c r="I3" s="8" t="str">
        <f aca="false">IF(H3&lt;=60,"OK","Largo")</f>
        <v>OK</v>
      </c>
      <c r="J3" s="10" t="s">
        <v>1545</v>
      </c>
      <c r="K3" s="8" t="n">
        <f aca="false">LEN(J3)</f>
        <v>137</v>
      </c>
      <c r="L3" s="8" t="str">
        <f aca="false">IF(AND(K3&gt;=120,K3&lt;=155),"OK",IF(K3&lt;120,"Corta","Larga"))</f>
        <v>OK</v>
      </c>
      <c r="M3" s="9" t="s">
        <v>1539</v>
      </c>
    </row>
    <row r="4" customFormat="false" ht="35.05" hidden="false" customHeight="false" outlineLevel="0" collapsed="false">
      <c r="A4" s="8" t="s">
        <v>1546</v>
      </c>
      <c r="B4" s="9" t="s">
        <v>1547</v>
      </c>
      <c r="C4" s="8" t="n">
        <v>16</v>
      </c>
      <c r="D4" s="8" t="s">
        <v>1548</v>
      </c>
      <c r="E4" s="8" t="s">
        <v>1549</v>
      </c>
      <c r="F4" s="9" t="s">
        <v>1550</v>
      </c>
      <c r="G4" s="10" t="s">
        <v>1551</v>
      </c>
      <c r="H4" s="8" t="n">
        <f aca="false">LEN(G4)</f>
        <v>55</v>
      </c>
      <c r="I4" s="8" t="str">
        <f aca="false">IF(H4&lt;=60,"OK","Largo")</f>
        <v>OK</v>
      </c>
      <c r="J4" s="10" t="s">
        <v>1552</v>
      </c>
      <c r="K4" s="8" t="n">
        <f aca="false">LEN(J4)</f>
        <v>155</v>
      </c>
      <c r="L4" s="8" t="str">
        <f aca="false">IF(AND(K4&gt;=120,K4&lt;=155),"OK",IF(K4&lt;120,"Corta","Larga"))</f>
        <v>OK</v>
      </c>
      <c r="M4" s="9" t="s">
        <v>1539</v>
      </c>
    </row>
    <row r="5" customFormat="false" ht="35.05" hidden="false" customHeight="false" outlineLevel="0" collapsed="false">
      <c r="A5" s="8" t="s">
        <v>1553</v>
      </c>
      <c r="B5" s="9" t="s">
        <v>1554</v>
      </c>
      <c r="C5" s="8" t="n">
        <v>11</v>
      </c>
      <c r="D5" s="8" t="s">
        <v>1548</v>
      </c>
      <c r="E5" s="8" t="s">
        <v>1549</v>
      </c>
      <c r="F5" s="9" t="s">
        <v>1550</v>
      </c>
      <c r="G5" s="10" t="s">
        <v>1555</v>
      </c>
      <c r="H5" s="8" t="n">
        <f aca="false">LEN(G5)</f>
        <v>54</v>
      </c>
      <c r="I5" s="8" t="str">
        <f aca="false">IF(H5&lt;=60,"OK","Largo")</f>
        <v>OK</v>
      </c>
      <c r="J5" s="10" t="s">
        <v>1556</v>
      </c>
      <c r="K5" s="8" t="n">
        <f aca="false">LEN(J5)</f>
        <v>154</v>
      </c>
      <c r="L5" s="8" t="str">
        <f aca="false">IF(AND(K5&gt;=120,K5&lt;=155),"OK",IF(K5&lt;120,"Corta","Larga"))</f>
        <v>OK</v>
      </c>
      <c r="M5" s="9" t="s">
        <v>1539</v>
      </c>
    </row>
    <row r="6" customFormat="false" ht="35.05" hidden="false" customHeight="false" outlineLevel="0" collapsed="false">
      <c r="A6" s="8" t="s">
        <v>1557</v>
      </c>
      <c r="B6" s="9" t="s">
        <v>1558</v>
      </c>
      <c r="C6" s="8" t="n">
        <v>16</v>
      </c>
      <c r="D6" s="8" t="s">
        <v>1548</v>
      </c>
      <c r="E6" s="8" t="s">
        <v>1549</v>
      </c>
      <c r="F6" s="9" t="s">
        <v>1550</v>
      </c>
      <c r="G6" s="10" t="s">
        <v>1559</v>
      </c>
      <c r="H6" s="8" t="n">
        <f aca="false">LEN(G6)</f>
        <v>55</v>
      </c>
      <c r="I6" s="8" t="str">
        <f aca="false">IF(H6&lt;=60,"OK","Largo")</f>
        <v>OK</v>
      </c>
      <c r="J6" s="10" t="s">
        <v>1560</v>
      </c>
      <c r="K6" s="8" t="n">
        <f aca="false">LEN(J6)</f>
        <v>148</v>
      </c>
      <c r="L6" s="8" t="str">
        <f aca="false">IF(AND(K6&gt;=120,K6&lt;=155),"OK",IF(K6&lt;120,"Corta","Larga"))</f>
        <v>OK</v>
      </c>
      <c r="M6" s="9" t="s">
        <v>1561</v>
      </c>
    </row>
    <row r="7" customFormat="false" ht="35.05" hidden="false" customHeight="false" outlineLevel="0" collapsed="false">
      <c r="A7" s="8" t="s">
        <v>1562</v>
      </c>
      <c r="B7" s="9" t="s">
        <v>1563</v>
      </c>
      <c r="C7" s="8" t="n">
        <v>13</v>
      </c>
      <c r="D7" s="8" t="s">
        <v>1548</v>
      </c>
      <c r="E7" s="8" t="s">
        <v>1549</v>
      </c>
      <c r="F7" s="9" t="s">
        <v>1550</v>
      </c>
      <c r="G7" s="10" t="s">
        <v>1564</v>
      </c>
      <c r="H7" s="8" t="n">
        <f aca="false">LEN(G7)</f>
        <v>57</v>
      </c>
      <c r="I7" s="8" t="str">
        <f aca="false">IF(H7&lt;=60,"OK","Largo")</f>
        <v>OK</v>
      </c>
      <c r="J7" s="10" t="s">
        <v>1565</v>
      </c>
      <c r="K7" s="8" t="n">
        <f aca="false">LEN(J7)</f>
        <v>150</v>
      </c>
      <c r="L7" s="8" t="str">
        <f aca="false">IF(AND(K7&gt;=120,K7&lt;=155),"OK",IF(K7&lt;120,"Corta","Larga"))</f>
        <v>OK</v>
      </c>
      <c r="M7" s="9" t="s">
        <v>1539</v>
      </c>
    </row>
    <row r="8" customFormat="false" ht="23.85" hidden="false" customHeight="false" outlineLevel="0" collapsed="false">
      <c r="A8" s="8" t="s">
        <v>1566</v>
      </c>
      <c r="B8" s="9" t="s">
        <v>1567</v>
      </c>
      <c r="C8" s="8" t="n">
        <v>130</v>
      </c>
      <c r="D8" s="8" t="s">
        <v>1568</v>
      </c>
      <c r="E8" s="8" t="s">
        <v>1549</v>
      </c>
      <c r="F8" s="9" t="s">
        <v>1569</v>
      </c>
      <c r="G8" s="10" t="s">
        <v>1570</v>
      </c>
      <c r="H8" s="8" t="n">
        <f aca="false">LEN(G8)</f>
        <v>50</v>
      </c>
      <c r="I8" s="8" t="str">
        <f aca="false">IF(H8&lt;=60,"OK","Largo")</f>
        <v>OK</v>
      </c>
      <c r="J8" s="10" t="s">
        <v>1571</v>
      </c>
      <c r="K8" s="8" t="n">
        <f aca="false">LEN(J8)</f>
        <v>139</v>
      </c>
      <c r="L8" s="8" t="str">
        <f aca="false">IF(AND(K8&gt;=120,K8&lt;=155),"OK",IF(K8&lt;120,"Corta","Larga"))</f>
        <v>OK</v>
      </c>
      <c r="M8" s="9" t="s">
        <v>1539</v>
      </c>
    </row>
    <row r="9" customFormat="false" ht="23.85" hidden="false" customHeight="false" outlineLevel="0" collapsed="false">
      <c r="A9" s="8" t="s">
        <v>1572</v>
      </c>
      <c r="B9" s="9" t="s">
        <v>1573</v>
      </c>
      <c r="C9" s="8" t="n">
        <v>2</v>
      </c>
      <c r="D9" s="8" t="s">
        <v>1534</v>
      </c>
      <c r="E9" s="8" t="s">
        <v>1542</v>
      </c>
      <c r="F9" s="9" t="s">
        <v>1543</v>
      </c>
      <c r="G9" s="10" t="s">
        <v>1574</v>
      </c>
      <c r="H9" s="8" t="n">
        <f aca="false">LEN(G9)</f>
        <v>43</v>
      </c>
      <c r="I9" s="8" t="str">
        <f aca="false">IF(H9&lt;=60,"OK","Largo")</f>
        <v>OK</v>
      </c>
      <c r="J9" s="10" t="s">
        <v>1575</v>
      </c>
      <c r="K9" s="8" t="n">
        <f aca="false">LEN(J9)</f>
        <v>142</v>
      </c>
      <c r="L9" s="8" t="str">
        <f aca="false">IF(AND(K9&gt;=120,K9&lt;=155),"OK",IF(K9&lt;120,"Corta","Larga"))</f>
        <v>OK</v>
      </c>
      <c r="M9" s="9" t="s">
        <v>1539</v>
      </c>
    </row>
    <row r="10" customFormat="false" ht="35.05" hidden="false" customHeight="false" outlineLevel="0" collapsed="false">
      <c r="A10" s="8" t="s">
        <v>1576</v>
      </c>
      <c r="B10" s="9" t="s">
        <v>1577</v>
      </c>
      <c r="C10" s="8" t="n">
        <v>105</v>
      </c>
      <c r="D10" s="8" t="s">
        <v>1568</v>
      </c>
      <c r="E10" s="8" t="s">
        <v>1549</v>
      </c>
      <c r="F10" s="9" t="s">
        <v>1578</v>
      </c>
      <c r="G10" s="10" t="s">
        <v>1579</v>
      </c>
      <c r="H10" s="8" t="n">
        <f aca="false">LEN(G10)</f>
        <v>58</v>
      </c>
      <c r="I10" s="8" t="str">
        <f aca="false">IF(H10&lt;=60,"OK","Largo")</f>
        <v>OK</v>
      </c>
      <c r="J10" s="10" t="s">
        <v>1580</v>
      </c>
      <c r="K10" s="8" t="n">
        <f aca="false">LEN(J10)</f>
        <v>149</v>
      </c>
      <c r="L10" s="8" t="str">
        <f aca="false">IF(AND(K10&gt;=120,K10&lt;=155),"OK",IF(K10&lt;120,"Corta","Larga"))</f>
        <v>OK</v>
      </c>
      <c r="M10" s="9" t="s">
        <v>1539</v>
      </c>
    </row>
    <row r="11" customFormat="false" ht="23.85" hidden="false" customHeight="false" outlineLevel="0" collapsed="false">
      <c r="A11" s="8" t="s">
        <v>1581</v>
      </c>
      <c r="B11" s="9" t="s">
        <v>1582</v>
      </c>
      <c r="C11" s="8" t="n">
        <v>8</v>
      </c>
      <c r="D11" s="8" t="s">
        <v>1568</v>
      </c>
      <c r="E11" s="8" t="s">
        <v>1549</v>
      </c>
      <c r="F11" s="9" t="s">
        <v>1578</v>
      </c>
      <c r="G11" s="10" t="s">
        <v>1583</v>
      </c>
      <c r="H11" s="8" t="n">
        <f aca="false">LEN(G11)</f>
        <v>55</v>
      </c>
      <c r="I11" s="8" t="str">
        <f aca="false">IF(H11&lt;=60,"OK","Largo")</f>
        <v>OK</v>
      </c>
      <c r="J11" s="10" t="s">
        <v>1584</v>
      </c>
      <c r="K11" s="8" t="n">
        <f aca="false">LEN(J11)</f>
        <v>144</v>
      </c>
      <c r="L11" s="8" t="str">
        <f aca="false">IF(AND(K11&gt;=120,K11&lt;=155),"OK",IF(K11&lt;120,"Corta","Larga"))</f>
        <v>OK</v>
      </c>
      <c r="M11" s="9" t="s">
        <v>1539</v>
      </c>
    </row>
    <row r="12" customFormat="false" ht="23.85" hidden="false" customHeight="false" outlineLevel="0" collapsed="false">
      <c r="A12" s="8" t="s">
        <v>1585</v>
      </c>
      <c r="B12" s="9" t="s">
        <v>1586</v>
      </c>
      <c r="C12" s="8" t="n">
        <v>11</v>
      </c>
      <c r="D12" s="8" t="s">
        <v>1568</v>
      </c>
      <c r="E12" s="8" t="s">
        <v>1549</v>
      </c>
      <c r="F12" s="9" t="s">
        <v>1578</v>
      </c>
      <c r="G12" s="10" t="s">
        <v>1587</v>
      </c>
      <c r="H12" s="8" t="n">
        <f aca="false">LEN(G12)</f>
        <v>44</v>
      </c>
      <c r="I12" s="8" t="str">
        <f aca="false">IF(H12&lt;=60,"OK","Largo")</f>
        <v>OK</v>
      </c>
      <c r="J12" s="10" t="s">
        <v>1588</v>
      </c>
      <c r="K12" s="8" t="n">
        <f aca="false">LEN(J12)</f>
        <v>136</v>
      </c>
      <c r="L12" s="8" t="str">
        <f aca="false">IF(AND(K12&gt;=120,K12&lt;=155),"OK",IF(K12&lt;120,"Corta","Larga"))</f>
        <v>OK</v>
      </c>
      <c r="M12" s="9" t="s">
        <v>1539</v>
      </c>
    </row>
    <row r="13" customFormat="false" ht="23.85" hidden="false" customHeight="false" outlineLevel="0" collapsed="false">
      <c r="A13" s="8" t="s">
        <v>1589</v>
      </c>
      <c r="B13" s="9" t="s">
        <v>1590</v>
      </c>
      <c r="C13" s="8" t="n">
        <v>3</v>
      </c>
      <c r="D13" s="8" t="s">
        <v>1568</v>
      </c>
      <c r="E13" s="8" t="s">
        <v>1549</v>
      </c>
      <c r="F13" s="9" t="s">
        <v>1591</v>
      </c>
      <c r="G13" s="10" t="s">
        <v>1592</v>
      </c>
      <c r="H13" s="8" t="n">
        <f aca="false">LEN(G13)</f>
        <v>50</v>
      </c>
      <c r="I13" s="8" t="str">
        <f aca="false">IF(H13&lt;=60,"OK","Largo")</f>
        <v>OK</v>
      </c>
      <c r="J13" s="10" t="s">
        <v>1593</v>
      </c>
      <c r="K13" s="8" t="n">
        <f aca="false">LEN(J13)</f>
        <v>145</v>
      </c>
      <c r="L13" s="8" t="str">
        <f aca="false">IF(AND(K13&gt;=120,K13&lt;=155),"OK",IF(K13&lt;120,"Corta","Larga"))</f>
        <v>OK</v>
      </c>
      <c r="M13" s="9" t="s">
        <v>1539</v>
      </c>
    </row>
    <row r="14" customFormat="false" ht="35.05" hidden="false" customHeight="false" outlineLevel="0" collapsed="false">
      <c r="A14" s="8" t="s">
        <v>1594</v>
      </c>
      <c r="B14" s="9" t="s">
        <v>1595</v>
      </c>
      <c r="C14" s="8" t="n">
        <v>0</v>
      </c>
      <c r="D14" s="8" t="s">
        <v>1568</v>
      </c>
      <c r="E14" s="8" t="s">
        <v>1535</v>
      </c>
      <c r="F14" s="9" t="s">
        <v>1596</v>
      </c>
      <c r="G14" s="10" t="s">
        <v>1597</v>
      </c>
      <c r="H14" s="8" t="n">
        <f aca="false">LEN(G14)</f>
        <v>42</v>
      </c>
      <c r="I14" s="8" t="str">
        <f aca="false">IF(H14&lt;=60,"OK","Largo")</f>
        <v>OK</v>
      </c>
      <c r="J14" s="10" t="s">
        <v>1598</v>
      </c>
      <c r="K14" s="8" t="n">
        <f aca="false">LEN(J14)</f>
        <v>152</v>
      </c>
      <c r="L14" s="8" t="str">
        <f aca="false">IF(AND(K14&gt;=120,K14&lt;=155),"OK",IF(K14&lt;120,"Corta","Larga"))</f>
        <v>OK</v>
      </c>
      <c r="M14" s="9" t="s">
        <v>1539</v>
      </c>
    </row>
    <row r="15" customFormat="false" ht="23.85" hidden="false" customHeight="false" outlineLevel="0" collapsed="false">
      <c r="A15" s="8" t="s">
        <v>1599</v>
      </c>
      <c r="B15" s="9" t="s">
        <v>1600</v>
      </c>
      <c r="C15" s="8" t="n">
        <v>121</v>
      </c>
      <c r="D15" s="8" t="s">
        <v>1568</v>
      </c>
      <c r="E15" s="8" t="s">
        <v>1549</v>
      </c>
      <c r="F15" s="9" t="s">
        <v>1569</v>
      </c>
      <c r="G15" s="10" t="s">
        <v>1570</v>
      </c>
      <c r="H15" s="8" t="n">
        <f aca="false">LEN(G15)</f>
        <v>50</v>
      </c>
      <c r="I15" s="8" t="str">
        <f aca="false">IF(H15&lt;=60,"OK","Largo")</f>
        <v>OK</v>
      </c>
      <c r="J15" s="10" t="s">
        <v>1571</v>
      </c>
      <c r="K15" s="8" t="n">
        <f aca="false">LEN(J15)</f>
        <v>139</v>
      </c>
      <c r="L15" s="8" t="str">
        <f aca="false">IF(AND(K15&gt;=120,K15&lt;=155),"OK",IF(K15&lt;120,"Corta","Larga"))</f>
        <v>OK</v>
      </c>
      <c r="M15" s="9" t="s">
        <v>1539</v>
      </c>
    </row>
    <row r="16" customFormat="false" ht="35.05" hidden="false" customHeight="false" outlineLevel="0" collapsed="false">
      <c r="A16" s="8" t="s">
        <v>1601</v>
      </c>
      <c r="B16" s="9" t="s">
        <v>1602</v>
      </c>
      <c r="C16" s="8" t="n">
        <v>3</v>
      </c>
      <c r="D16" s="8" t="s">
        <v>1603</v>
      </c>
      <c r="E16" s="8" t="s">
        <v>1542</v>
      </c>
      <c r="F16" s="9" t="s">
        <v>1591</v>
      </c>
      <c r="G16" s="10" t="s">
        <v>1604</v>
      </c>
      <c r="H16" s="8" t="n">
        <f aca="false">LEN(G16)</f>
        <v>51</v>
      </c>
      <c r="I16" s="8" t="str">
        <f aca="false">IF(H16&lt;=60,"OK","Largo")</f>
        <v>OK</v>
      </c>
      <c r="J16" s="10" t="s">
        <v>1605</v>
      </c>
      <c r="K16" s="8" t="n">
        <f aca="false">LEN(J16)</f>
        <v>150</v>
      </c>
      <c r="L16" s="8" t="str">
        <f aca="false">IF(AND(K16&gt;=120,K16&lt;=155),"OK",IF(K16&lt;120,"Corta","Larga"))</f>
        <v>OK</v>
      </c>
      <c r="M16" s="9" t="s">
        <v>1539</v>
      </c>
    </row>
    <row r="17" customFormat="false" ht="23.85" hidden="false" customHeight="false" outlineLevel="0" collapsed="false">
      <c r="A17" s="8" t="s">
        <v>1606</v>
      </c>
      <c r="B17" s="9" t="s">
        <v>1607</v>
      </c>
      <c r="C17" s="8" t="n">
        <v>0</v>
      </c>
      <c r="D17" s="8" t="s">
        <v>1603</v>
      </c>
      <c r="E17" s="8" t="s">
        <v>1535</v>
      </c>
      <c r="F17" s="9" t="s">
        <v>1608</v>
      </c>
      <c r="G17" s="10" t="s">
        <v>1604</v>
      </c>
      <c r="H17" s="8" t="n">
        <f aca="false">LEN(G17)</f>
        <v>51</v>
      </c>
      <c r="I17" s="8" t="str">
        <f aca="false">IF(H17&lt;=60,"OK","Largo")</f>
        <v>OK</v>
      </c>
      <c r="J17" s="10" t="s">
        <v>1609</v>
      </c>
      <c r="K17" s="8" t="n">
        <f aca="false">LEN(J17)</f>
        <v>148</v>
      </c>
      <c r="L17" s="8" t="str">
        <f aca="false">IF(AND(K17&gt;=120,K17&lt;=155),"OK",IF(K17&lt;120,"Corta","Larga"))</f>
        <v>OK</v>
      </c>
      <c r="M17" s="9" t="s">
        <v>1539</v>
      </c>
    </row>
    <row r="18" customFormat="false" ht="35.05" hidden="false" customHeight="false" outlineLevel="0" collapsed="false">
      <c r="A18" s="8" t="s">
        <v>1610</v>
      </c>
      <c r="B18" s="9" t="s">
        <v>1611</v>
      </c>
      <c r="C18" s="8" t="n">
        <v>1</v>
      </c>
      <c r="D18" s="8" t="s">
        <v>1612</v>
      </c>
      <c r="E18" s="8" t="s">
        <v>1535</v>
      </c>
      <c r="F18" s="9" t="s">
        <v>1613</v>
      </c>
      <c r="G18" s="10" t="s">
        <v>1614</v>
      </c>
      <c r="H18" s="8" t="n">
        <f aca="false">LEN(G18)</f>
        <v>55</v>
      </c>
      <c r="I18" s="8" t="str">
        <f aca="false">IF(H18&lt;=60,"OK","Largo")</f>
        <v>OK</v>
      </c>
      <c r="J18" s="10" t="s">
        <v>1615</v>
      </c>
      <c r="K18" s="8" t="n">
        <f aca="false">LEN(J18)</f>
        <v>154</v>
      </c>
      <c r="L18" s="8" t="str">
        <f aca="false">IF(AND(K18&gt;=120,K18&lt;=155),"OK",IF(K18&lt;120,"Corta","Larga"))</f>
        <v>OK</v>
      </c>
      <c r="M18" s="9" t="s">
        <v>1539</v>
      </c>
    </row>
    <row r="19" customFormat="false" ht="23.85" hidden="false" customHeight="false" outlineLevel="0" collapsed="false">
      <c r="A19" s="8" t="s">
        <v>1616</v>
      </c>
      <c r="B19" s="9" t="s">
        <v>1617</v>
      </c>
      <c r="C19" s="8" t="n">
        <v>10</v>
      </c>
      <c r="D19" s="8" t="s">
        <v>1612</v>
      </c>
      <c r="E19" s="8" t="s">
        <v>1549</v>
      </c>
      <c r="F19" s="9" t="s">
        <v>1578</v>
      </c>
      <c r="G19" s="10" t="s">
        <v>1618</v>
      </c>
      <c r="H19" s="8" t="n">
        <f aca="false">LEN(G19)</f>
        <v>58</v>
      </c>
      <c r="I19" s="8" t="str">
        <f aca="false">IF(H19&lt;=60,"OK","Largo")</f>
        <v>OK</v>
      </c>
      <c r="J19" s="10" t="s">
        <v>1619</v>
      </c>
      <c r="K19" s="8" t="n">
        <f aca="false">LEN(J19)</f>
        <v>131</v>
      </c>
      <c r="L19" s="8" t="str">
        <f aca="false">IF(AND(K19&gt;=120,K19&lt;=155),"OK",IF(K19&lt;120,"Corta","Larga"))</f>
        <v>OK</v>
      </c>
      <c r="M19" s="9" t="s">
        <v>1539</v>
      </c>
    </row>
    <row r="20" customFormat="false" ht="35.05" hidden="false" customHeight="false" outlineLevel="0" collapsed="false">
      <c r="A20" s="8" t="s">
        <v>1620</v>
      </c>
      <c r="B20" s="9" t="s">
        <v>1621</v>
      </c>
      <c r="C20" s="8" t="n">
        <v>2</v>
      </c>
      <c r="D20" s="8" t="s">
        <v>1612</v>
      </c>
      <c r="E20" s="8" t="s">
        <v>1542</v>
      </c>
      <c r="F20" s="9" t="s">
        <v>1591</v>
      </c>
      <c r="G20" s="10" t="s">
        <v>1622</v>
      </c>
      <c r="H20" s="8" t="n">
        <f aca="false">LEN(G20)</f>
        <v>53</v>
      </c>
      <c r="I20" s="8" t="str">
        <f aca="false">IF(H20&lt;=60,"OK","Largo")</f>
        <v>OK</v>
      </c>
      <c r="J20" s="10" t="s">
        <v>1623</v>
      </c>
      <c r="K20" s="8" t="n">
        <f aca="false">LEN(J20)</f>
        <v>152</v>
      </c>
      <c r="L20" s="8" t="str">
        <f aca="false">IF(AND(K20&gt;=120,K20&lt;=155),"OK",IF(K20&lt;120,"Corta","Larga"))</f>
        <v>OK</v>
      </c>
      <c r="M20" s="9" t="s">
        <v>1539</v>
      </c>
    </row>
    <row r="21" customFormat="false" ht="23.85" hidden="false" customHeight="false" outlineLevel="0" collapsed="false">
      <c r="A21" s="8" t="s">
        <v>1624</v>
      </c>
      <c r="B21" s="9" t="s">
        <v>1625</v>
      </c>
      <c r="C21" s="8" t="n">
        <v>2</v>
      </c>
      <c r="D21" s="8" t="s">
        <v>1612</v>
      </c>
      <c r="E21" s="8" t="s">
        <v>1542</v>
      </c>
      <c r="F21" s="9" t="s">
        <v>1591</v>
      </c>
      <c r="G21" s="10" t="s">
        <v>1626</v>
      </c>
      <c r="H21" s="8" t="n">
        <f aca="false">LEN(G21)</f>
        <v>43</v>
      </c>
      <c r="I21" s="8" t="str">
        <f aca="false">IF(H21&lt;=60,"OK","Largo")</f>
        <v>OK</v>
      </c>
      <c r="J21" s="10" t="s">
        <v>1627</v>
      </c>
      <c r="K21" s="8" t="n">
        <f aca="false">LEN(J21)</f>
        <v>142</v>
      </c>
      <c r="L21" s="8" t="str">
        <f aca="false">IF(AND(K21&gt;=120,K21&lt;=155),"OK",IF(K21&lt;120,"Corta","Larga"))</f>
        <v>OK</v>
      </c>
      <c r="M21" s="9" t="s">
        <v>1539</v>
      </c>
    </row>
    <row r="22" customFormat="false" ht="23.85" hidden="false" customHeight="false" outlineLevel="0" collapsed="false">
      <c r="A22" s="8" t="s">
        <v>1628</v>
      </c>
      <c r="B22" s="9" t="s">
        <v>1629</v>
      </c>
      <c r="C22" s="8" t="n">
        <v>8</v>
      </c>
      <c r="D22" s="8" t="s">
        <v>1612</v>
      </c>
      <c r="E22" s="8" t="s">
        <v>1549</v>
      </c>
      <c r="F22" s="9" t="s">
        <v>1578</v>
      </c>
      <c r="G22" s="10" t="s">
        <v>1630</v>
      </c>
      <c r="H22" s="8" t="n">
        <f aca="false">LEN(G22)</f>
        <v>57</v>
      </c>
      <c r="I22" s="8" t="str">
        <f aca="false">IF(H22&lt;=60,"OK","Largo")</f>
        <v>OK</v>
      </c>
      <c r="J22" s="10" t="s">
        <v>1631</v>
      </c>
      <c r="K22" s="8" t="n">
        <f aca="false">LEN(J22)</f>
        <v>127</v>
      </c>
      <c r="L22" s="8" t="str">
        <f aca="false">IF(AND(K22&gt;=120,K22&lt;=155),"OK",IF(K22&lt;120,"Corta","Larga"))</f>
        <v>OK</v>
      </c>
      <c r="M22" s="9" t="s">
        <v>1539</v>
      </c>
    </row>
    <row r="23" customFormat="false" ht="35.05" hidden="false" customHeight="false" outlineLevel="0" collapsed="false">
      <c r="A23" s="8" t="s">
        <v>1632</v>
      </c>
      <c r="B23" s="9" t="s">
        <v>1633</v>
      </c>
      <c r="C23" s="8" t="n">
        <v>1</v>
      </c>
      <c r="D23" s="8" t="s">
        <v>1612</v>
      </c>
      <c r="E23" s="8" t="s">
        <v>1535</v>
      </c>
      <c r="F23" s="9" t="s">
        <v>1634</v>
      </c>
      <c r="G23" s="10" t="s">
        <v>1635</v>
      </c>
      <c r="H23" s="8" t="n">
        <f aca="false">LEN(G23)</f>
        <v>51</v>
      </c>
      <c r="I23" s="8" t="str">
        <f aca="false">IF(H23&lt;=60,"OK","Largo")</f>
        <v>OK</v>
      </c>
      <c r="J23" s="10" t="s">
        <v>1636</v>
      </c>
      <c r="K23" s="8" t="n">
        <f aca="false">LEN(J23)</f>
        <v>150</v>
      </c>
      <c r="L23" s="8" t="str">
        <f aca="false">IF(AND(K23&gt;=120,K23&lt;=155),"OK",IF(K23&lt;120,"Corta","Larga"))</f>
        <v>OK</v>
      </c>
      <c r="M23" s="9" t="s">
        <v>1539</v>
      </c>
    </row>
    <row r="24" customFormat="false" ht="23.85" hidden="false" customHeight="false" outlineLevel="0" collapsed="false">
      <c r="A24" s="8" t="s">
        <v>1637</v>
      </c>
      <c r="B24" s="9" t="s">
        <v>1638</v>
      </c>
      <c r="C24" s="8" t="n">
        <v>1</v>
      </c>
      <c r="D24" s="8" t="s">
        <v>1612</v>
      </c>
      <c r="E24" s="8" t="s">
        <v>1535</v>
      </c>
      <c r="F24" s="9" t="s">
        <v>1634</v>
      </c>
      <c r="G24" s="10" t="s">
        <v>1639</v>
      </c>
      <c r="H24" s="8" t="n">
        <f aca="false">LEN(G24)</f>
        <v>41</v>
      </c>
      <c r="I24" s="8" t="str">
        <f aca="false">IF(H24&lt;=60,"OK","Largo")</f>
        <v>OK</v>
      </c>
      <c r="J24" s="10" t="s">
        <v>1640</v>
      </c>
      <c r="K24" s="8" t="n">
        <f aca="false">LEN(J24)</f>
        <v>140</v>
      </c>
      <c r="L24" s="8" t="str">
        <f aca="false">IF(AND(K24&gt;=120,K24&lt;=155),"OK",IF(K24&lt;120,"Corta","Larga"))</f>
        <v>OK</v>
      </c>
      <c r="M24" s="9" t="s">
        <v>1539</v>
      </c>
    </row>
    <row r="25" customFormat="false" ht="35.05" hidden="false" customHeight="false" outlineLevel="0" collapsed="false">
      <c r="A25" s="8" t="s">
        <v>1641</v>
      </c>
      <c r="B25" s="9" t="s">
        <v>1642</v>
      </c>
      <c r="C25" s="8" t="n">
        <v>2</v>
      </c>
      <c r="D25" s="8" t="s">
        <v>1612</v>
      </c>
      <c r="E25" s="8" t="s">
        <v>1542</v>
      </c>
      <c r="F25" s="9" t="s">
        <v>1591</v>
      </c>
      <c r="G25" s="10" t="s">
        <v>1643</v>
      </c>
      <c r="H25" s="8" t="n">
        <f aca="false">LEN(G25)</f>
        <v>53</v>
      </c>
      <c r="I25" s="8" t="str">
        <f aca="false">IF(H25&lt;=60,"OK","Largo")</f>
        <v>OK</v>
      </c>
      <c r="J25" s="10" t="s">
        <v>1644</v>
      </c>
      <c r="K25" s="8" t="n">
        <f aca="false">LEN(J25)</f>
        <v>152</v>
      </c>
      <c r="L25" s="8" t="str">
        <f aca="false">IF(AND(K25&gt;=120,K25&lt;=155),"OK",IF(K25&lt;120,"Corta","Larga"))</f>
        <v>OK</v>
      </c>
      <c r="M25" s="9" t="s">
        <v>1539</v>
      </c>
    </row>
    <row r="26" customFormat="false" ht="35.05" hidden="false" customHeight="false" outlineLevel="0" collapsed="false">
      <c r="A26" s="8" t="s">
        <v>1645</v>
      </c>
      <c r="B26" s="9" t="s">
        <v>1646</v>
      </c>
      <c r="C26" s="8" t="n">
        <v>2</v>
      </c>
      <c r="D26" s="8" t="s">
        <v>1612</v>
      </c>
      <c r="E26" s="8" t="s">
        <v>1542</v>
      </c>
      <c r="F26" s="9" t="s">
        <v>1613</v>
      </c>
      <c r="G26" s="10" t="s">
        <v>1647</v>
      </c>
      <c r="H26" s="8" t="n">
        <f aca="false">LEN(G26)</f>
        <v>55</v>
      </c>
      <c r="I26" s="8" t="str">
        <f aca="false">IF(H26&lt;=60,"OK","Largo")</f>
        <v>OK</v>
      </c>
      <c r="J26" s="10" t="s">
        <v>1648</v>
      </c>
      <c r="K26" s="8" t="n">
        <f aca="false">LEN(J26)</f>
        <v>154</v>
      </c>
      <c r="L26" s="8" t="str">
        <f aca="false">IF(AND(K26&gt;=120,K26&lt;=155),"OK",IF(K26&lt;120,"Corta","Larga"))</f>
        <v>OK</v>
      </c>
      <c r="M26" s="9" t="s">
        <v>1539</v>
      </c>
    </row>
    <row r="27" customFormat="false" ht="35.05" hidden="false" customHeight="false" outlineLevel="0" collapsed="false">
      <c r="A27" s="8" t="s">
        <v>1649</v>
      </c>
      <c r="B27" s="9" t="s">
        <v>1650</v>
      </c>
      <c r="C27" s="8" t="n">
        <v>6</v>
      </c>
      <c r="D27" s="8" t="s">
        <v>1612</v>
      </c>
      <c r="E27" s="8" t="s">
        <v>1542</v>
      </c>
      <c r="F27" s="9" t="s">
        <v>1591</v>
      </c>
      <c r="G27" s="10" t="s">
        <v>1651</v>
      </c>
      <c r="H27" s="8" t="n">
        <f aca="false">LEN(G27)</f>
        <v>51</v>
      </c>
      <c r="I27" s="8" t="str">
        <f aca="false">IF(H27&lt;=60,"OK","Largo")</f>
        <v>OK</v>
      </c>
      <c r="J27" s="10" t="s">
        <v>1652</v>
      </c>
      <c r="K27" s="8" t="n">
        <f aca="false">LEN(J27)</f>
        <v>150</v>
      </c>
      <c r="L27" s="8" t="str">
        <f aca="false">IF(AND(K27&gt;=120,K27&lt;=155),"OK",IF(K27&lt;120,"Corta","Larga"))</f>
        <v>OK</v>
      </c>
      <c r="M27" s="9" t="s">
        <v>1539</v>
      </c>
    </row>
    <row r="28" customFormat="false" ht="23.85" hidden="false" customHeight="false" outlineLevel="0" collapsed="false">
      <c r="A28" s="8" t="s">
        <v>1653</v>
      </c>
      <c r="B28" s="9" t="s">
        <v>1654</v>
      </c>
      <c r="C28" s="8" t="n">
        <v>1</v>
      </c>
      <c r="D28" s="8" t="s">
        <v>1612</v>
      </c>
      <c r="E28" s="8" t="s">
        <v>1535</v>
      </c>
      <c r="F28" s="9" t="s">
        <v>1655</v>
      </c>
      <c r="G28" s="10" t="s">
        <v>1656</v>
      </c>
      <c r="H28" s="8" t="n">
        <f aca="false">LEN(G28)</f>
        <v>59</v>
      </c>
      <c r="I28" s="8" t="str">
        <f aca="false">IF(H28&lt;=60,"OK","Largo")</f>
        <v>OK</v>
      </c>
      <c r="J28" s="10" t="s">
        <v>1657</v>
      </c>
      <c r="K28" s="8" t="n">
        <f aca="false">LEN(J28)</f>
        <v>129</v>
      </c>
      <c r="L28" s="8" t="str">
        <f aca="false">IF(AND(K28&gt;=120,K28&lt;=155),"OK",IF(K28&lt;120,"Corta","Larga"))</f>
        <v>OK</v>
      </c>
      <c r="M28" s="9" t="s">
        <v>1539</v>
      </c>
    </row>
    <row r="29" customFormat="false" ht="23.85" hidden="false" customHeight="false" outlineLevel="0" collapsed="false">
      <c r="A29" s="8" t="s">
        <v>1658</v>
      </c>
      <c r="B29" s="9" t="s">
        <v>1659</v>
      </c>
      <c r="C29" s="8" t="n">
        <v>1</v>
      </c>
      <c r="D29" s="8" t="s">
        <v>1612</v>
      </c>
      <c r="E29" s="8" t="s">
        <v>1535</v>
      </c>
      <c r="F29" s="9" t="s">
        <v>1655</v>
      </c>
      <c r="G29" s="10" t="s">
        <v>1660</v>
      </c>
      <c r="H29" s="8" t="n">
        <f aca="false">LEN(G29)</f>
        <v>57</v>
      </c>
      <c r="I29" s="8" t="str">
        <f aca="false">IF(H29&lt;=60,"OK","Largo")</f>
        <v>OK</v>
      </c>
      <c r="J29" s="10" t="s">
        <v>1661</v>
      </c>
      <c r="K29" s="8" t="n">
        <f aca="false">LEN(J29)</f>
        <v>127</v>
      </c>
      <c r="L29" s="8" t="str">
        <f aca="false">IF(AND(K29&gt;=120,K29&lt;=155),"OK",IF(K29&lt;120,"Corta","Larga"))</f>
        <v>OK</v>
      </c>
      <c r="M29" s="9" t="s">
        <v>1539</v>
      </c>
    </row>
    <row r="30" customFormat="false" ht="35.05" hidden="false" customHeight="false" outlineLevel="0" collapsed="false">
      <c r="A30" s="8" t="s">
        <v>1662</v>
      </c>
      <c r="B30" s="9" t="s">
        <v>1663</v>
      </c>
      <c r="C30" s="8" t="n">
        <v>2</v>
      </c>
      <c r="D30" s="8" t="s">
        <v>1612</v>
      </c>
      <c r="E30" s="8" t="s">
        <v>1542</v>
      </c>
      <c r="F30" s="9" t="s">
        <v>1591</v>
      </c>
      <c r="G30" s="10" t="s">
        <v>1664</v>
      </c>
      <c r="H30" s="8" t="n">
        <f aca="false">LEN(G30)</f>
        <v>53</v>
      </c>
      <c r="I30" s="8" t="str">
        <f aca="false">IF(H30&lt;=60,"OK","Largo")</f>
        <v>OK</v>
      </c>
      <c r="J30" s="10" t="s">
        <v>1665</v>
      </c>
      <c r="K30" s="8" t="n">
        <f aca="false">LEN(J30)</f>
        <v>152</v>
      </c>
      <c r="L30" s="8" t="str">
        <f aca="false">IF(AND(K30&gt;=120,K30&lt;=155),"OK",IF(K30&lt;120,"Corta","Larga"))</f>
        <v>OK</v>
      </c>
      <c r="M30" s="9" t="s">
        <v>1539</v>
      </c>
    </row>
    <row r="31" customFormat="false" ht="23.85" hidden="false" customHeight="false" outlineLevel="0" collapsed="false">
      <c r="A31" s="8" t="s">
        <v>1666</v>
      </c>
      <c r="B31" s="9" t="s">
        <v>1667</v>
      </c>
      <c r="C31" s="8" t="n">
        <v>22</v>
      </c>
      <c r="D31" s="8" t="s">
        <v>1612</v>
      </c>
      <c r="E31" s="8" t="s">
        <v>1549</v>
      </c>
      <c r="F31" s="9" t="s">
        <v>1578</v>
      </c>
      <c r="G31" s="10" t="s">
        <v>1668</v>
      </c>
      <c r="H31" s="8" t="n">
        <f aca="false">LEN(G31)</f>
        <v>39</v>
      </c>
      <c r="I31" s="8" t="str">
        <f aca="false">IF(H31&lt;=60,"OK","Largo")</f>
        <v>OK</v>
      </c>
      <c r="J31" s="10" t="s">
        <v>1669</v>
      </c>
      <c r="K31" s="8" t="n">
        <f aca="false">LEN(J31)</f>
        <v>138</v>
      </c>
      <c r="L31" s="8" t="str">
        <f aca="false">IF(AND(K31&gt;=120,K31&lt;=155),"OK",IF(K31&lt;120,"Corta","Larga"))</f>
        <v>OK</v>
      </c>
      <c r="M31" s="9" t="s">
        <v>1539</v>
      </c>
    </row>
    <row r="32" customFormat="false" ht="23.85" hidden="false" customHeight="false" outlineLevel="0" collapsed="false">
      <c r="A32" s="8" t="s">
        <v>1670</v>
      </c>
      <c r="B32" s="9" t="s">
        <v>1671</v>
      </c>
      <c r="C32" s="8" t="n">
        <v>1</v>
      </c>
      <c r="D32" s="8" t="s">
        <v>1612</v>
      </c>
      <c r="E32" s="8" t="s">
        <v>1535</v>
      </c>
      <c r="F32" s="9" t="s">
        <v>1634</v>
      </c>
      <c r="G32" s="10" t="s">
        <v>1672</v>
      </c>
      <c r="H32" s="8" t="n">
        <f aca="false">LEN(G32)</f>
        <v>43</v>
      </c>
      <c r="I32" s="8" t="str">
        <f aca="false">IF(H32&lt;=60,"OK","Largo")</f>
        <v>OK</v>
      </c>
      <c r="J32" s="10" t="s">
        <v>1673</v>
      </c>
      <c r="K32" s="8" t="n">
        <f aca="false">LEN(J32)</f>
        <v>142</v>
      </c>
      <c r="L32" s="8" t="str">
        <f aca="false">IF(AND(K32&gt;=120,K32&lt;=155),"OK",IF(K32&lt;120,"Corta","Larga"))</f>
        <v>OK</v>
      </c>
      <c r="M32" s="9" t="s">
        <v>1539</v>
      </c>
    </row>
    <row r="33" customFormat="false" ht="23.85" hidden="false" customHeight="false" outlineLevel="0" collapsed="false">
      <c r="A33" s="8" t="s">
        <v>1674</v>
      </c>
      <c r="B33" s="9" t="s">
        <v>1675</v>
      </c>
      <c r="C33" s="8" t="n">
        <v>8</v>
      </c>
      <c r="D33" s="8" t="s">
        <v>1612</v>
      </c>
      <c r="E33" s="8" t="s">
        <v>1549</v>
      </c>
      <c r="F33" s="9" t="s">
        <v>1578</v>
      </c>
      <c r="G33" s="10" t="s">
        <v>1676</v>
      </c>
      <c r="H33" s="8" t="n">
        <f aca="false">LEN(G33)</f>
        <v>45</v>
      </c>
      <c r="I33" s="8" t="str">
        <f aca="false">IF(H33&lt;=60,"OK","Largo")</f>
        <v>OK</v>
      </c>
      <c r="J33" s="10" t="s">
        <v>1677</v>
      </c>
      <c r="K33" s="8" t="n">
        <f aca="false">LEN(J33)</f>
        <v>144</v>
      </c>
      <c r="L33" s="8" t="str">
        <f aca="false">IF(AND(K33&gt;=120,K33&lt;=155),"OK",IF(K33&lt;120,"Corta","Larga"))</f>
        <v>OK</v>
      </c>
      <c r="M33" s="9" t="s">
        <v>1539</v>
      </c>
    </row>
    <row r="34" customFormat="false" ht="23.85" hidden="false" customHeight="false" outlineLevel="0" collapsed="false">
      <c r="A34" s="8" t="s">
        <v>1678</v>
      </c>
      <c r="B34" s="9" t="s">
        <v>1679</v>
      </c>
      <c r="C34" s="8" t="n">
        <v>20</v>
      </c>
      <c r="D34" s="8" t="s">
        <v>1612</v>
      </c>
      <c r="E34" s="8" t="s">
        <v>1549</v>
      </c>
      <c r="F34" s="9" t="s">
        <v>1578</v>
      </c>
      <c r="G34" s="10" t="s">
        <v>1680</v>
      </c>
      <c r="H34" s="8" t="n">
        <f aca="false">LEN(G34)</f>
        <v>44</v>
      </c>
      <c r="I34" s="8" t="str">
        <f aca="false">IF(H34&lt;=60,"OK","Largo")</f>
        <v>OK</v>
      </c>
      <c r="J34" s="10" t="s">
        <v>1681</v>
      </c>
      <c r="K34" s="8" t="n">
        <f aca="false">LEN(J34)</f>
        <v>143</v>
      </c>
      <c r="L34" s="8" t="str">
        <f aca="false">IF(AND(K34&gt;=120,K34&lt;=155),"OK",IF(K34&lt;120,"Corta","Larga"))</f>
        <v>OK</v>
      </c>
      <c r="M34" s="9" t="s">
        <v>1539</v>
      </c>
    </row>
    <row r="35" customFormat="false" ht="23.85" hidden="false" customHeight="false" outlineLevel="0" collapsed="false">
      <c r="A35" s="8" t="s">
        <v>1682</v>
      </c>
      <c r="B35" s="9" t="s">
        <v>1683</v>
      </c>
      <c r="C35" s="8" t="n">
        <v>0</v>
      </c>
      <c r="D35" s="8" t="s">
        <v>1603</v>
      </c>
      <c r="E35" s="8" t="s">
        <v>1535</v>
      </c>
      <c r="F35" s="9" t="s">
        <v>1608</v>
      </c>
      <c r="G35" s="10" t="s">
        <v>1684</v>
      </c>
      <c r="H35" s="8" t="n">
        <f aca="false">LEN(G35)</f>
        <v>52</v>
      </c>
      <c r="I35" s="8" t="str">
        <f aca="false">IF(H35&lt;=60,"OK","Largo")</f>
        <v>OK</v>
      </c>
      <c r="J35" s="10" t="s">
        <v>1685</v>
      </c>
      <c r="K35" s="8" t="n">
        <f aca="false">LEN(J35)</f>
        <v>142</v>
      </c>
      <c r="L35" s="8" t="str">
        <f aca="false">IF(AND(K35&gt;=120,K35&lt;=155),"OK",IF(K35&lt;120,"Corta","Larga"))</f>
        <v>OK</v>
      </c>
      <c r="M35" s="9" t="s">
        <v>1539</v>
      </c>
    </row>
    <row r="36" customFormat="false" ht="23.85" hidden="false" customHeight="false" outlineLevel="0" collapsed="false">
      <c r="A36" s="8" t="s">
        <v>1686</v>
      </c>
      <c r="B36" s="9" t="s">
        <v>1687</v>
      </c>
      <c r="C36" s="8" t="n">
        <v>2</v>
      </c>
      <c r="D36" s="8" t="s">
        <v>1603</v>
      </c>
      <c r="E36" s="8" t="s">
        <v>1542</v>
      </c>
      <c r="F36" s="9" t="s">
        <v>1591</v>
      </c>
      <c r="G36" s="10" t="s">
        <v>1684</v>
      </c>
      <c r="H36" s="8" t="n">
        <f aca="false">LEN(G36)</f>
        <v>52</v>
      </c>
      <c r="I36" s="8" t="str">
        <f aca="false">IF(H36&lt;=60,"OK","Largo")</f>
        <v>OK</v>
      </c>
      <c r="J36" s="10" t="s">
        <v>1688</v>
      </c>
      <c r="K36" s="8" t="n">
        <f aca="false">LEN(J36)</f>
        <v>140</v>
      </c>
      <c r="L36" s="8" t="str">
        <f aca="false">IF(AND(K36&gt;=120,K36&lt;=155),"OK",IF(K36&lt;120,"Corta","Larga"))</f>
        <v>OK</v>
      </c>
      <c r="M36" s="9" t="s">
        <v>1539</v>
      </c>
    </row>
    <row r="37" customFormat="false" ht="23.85" hidden="false" customHeight="false" outlineLevel="0" collapsed="false">
      <c r="A37" s="8" t="s">
        <v>1689</v>
      </c>
      <c r="B37" s="9" t="s">
        <v>1690</v>
      </c>
      <c r="C37" s="8" t="n">
        <v>3</v>
      </c>
      <c r="D37" s="8" t="s">
        <v>1612</v>
      </c>
      <c r="E37" s="8" t="s">
        <v>1542</v>
      </c>
      <c r="F37" s="9" t="s">
        <v>1591</v>
      </c>
      <c r="G37" s="10" t="s">
        <v>1691</v>
      </c>
      <c r="H37" s="8" t="n">
        <f aca="false">LEN(G37)</f>
        <v>58</v>
      </c>
      <c r="I37" s="8" t="str">
        <f aca="false">IF(H37&lt;=60,"OK","Largo")</f>
        <v>OK</v>
      </c>
      <c r="J37" s="10" t="s">
        <v>1692</v>
      </c>
      <c r="K37" s="8" t="n">
        <f aca="false">LEN(J37)</f>
        <v>131</v>
      </c>
      <c r="L37" s="8" t="str">
        <f aca="false">IF(AND(K37&gt;=120,K37&lt;=155),"OK",IF(K37&lt;120,"Corta","Larga"))</f>
        <v>OK</v>
      </c>
      <c r="M37" s="9" t="s">
        <v>1539</v>
      </c>
    </row>
    <row r="38" customFormat="false" ht="23.85" hidden="false" customHeight="false" outlineLevel="0" collapsed="false">
      <c r="A38" s="8" t="s">
        <v>1693</v>
      </c>
      <c r="B38" s="9" t="s">
        <v>1694</v>
      </c>
      <c r="C38" s="8" t="n">
        <v>8</v>
      </c>
      <c r="D38" s="8" t="s">
        <v>1612</v>
      </c>
      <c r="E38" s="8" t="s">
        <v>1549</v>
      </c>
      <c r="F38" s="9" t="s">
        <v>1578</v>
      </c>
      <c r="G38" s="10" t="s">
        <v>1695</v>
      </c>
      <c r="H38" s="8" t="n">
        <f aca="false">LEN(G38)</f>
        <v>43</v>
      </c>
      <c r="I38" s="8" t="str">
        <f aca="false">IF(H38&lt;=60,"OK","Largo")</f>
        <v>OK</v>
      </c>
      <c r="J38" s="10" t="s">
        <v>1696</v>
      </c>
      <c r="K38" s="8" t="n">
        <f aca="false">LEN(J38)</f>
        <v>142</v>
      </c>
      <c r="L38" s="8" t="str">
        <f aca="false">IF(AND(K38&gt;=120,K38&lt;=155),"OK",IF(K38&lt;120,"Corta","Larga"))</f>
        <v>OK</v>
      </c>
      <c r="M38" s="9" t="s">
        <v>1539</v>
      </c>
    </row>
    <row r="39" customFormat="false" ht="35.05" hidden="false" customHeight="false" outlineLevel="0" collapsed="false">
      <c r="A39" s="8" t="s">
        <v>1697</v>
      </c>
      <c r="B39" s="9" t="s">
        <v>1698</v>
      </c>
      <c r="C39" s="8" t="n">
        <v>2</v>
      </c>
      <c r="D39" s="8" t="s">
        <v>1603</v>
      </c>
      <c r="E39" s="8" t="s">
        <v>1542</v>
      </c>
      <c r="F39" s="9" t="s">
        <v>1699</v>
      </c>
      <c r="G39" s="10" t="s">
        <v>1700</v>
      </c>
      <c r="H39" s="8" t="n">
        <f aca="false">LEN(G39)</f>
        <v>49</v>
      </c>
      <c r="I39" s="8" t="str">
        <f aca="false">IF(H39&lt;=60,"OK","Largo")</f>
        <v>OK</v>
      </c>
      <c r="J39" s="10" t="s">
        <v>1701</v>
      </c>
      <c r="K39" s="8" t="n">
        <f aca="false">LEN(J39)</f>
        <v>148</v>
      </c>
      <c r="L39" s="8" t="str">
        <f aca="false">IF(AND(K39&gt;=120,K39&lt;=155),"OK",IF(K39&lt;120,"Corta","Larga"))</f>
        <v>OK</v>
      </c>
      <c r="M39" s="9" t="s">
        <v>1539</v>
      </c>
    </row>
    <row r="40" customFormat="false" ht="35.05" hidden="false" customHeight="false" outlineLevel="0" collapsed="false">
      <c r="A40" s="8" t="s">
        <v>1702</v>
      </c>
      <c r="B40" s="9" t="s">
        <v>1703</v>
      </c>
      <c r="C40" s="8" t="n">
        <v>5</v>
      </c>
      <c r="D40" s="8" t="s">
        <v>1603</v>
      </c>
      <c r="E40" s="8" t="s">
        <v>1542</v>
      </c>
      <c r="F40" s="9" t="s">
        <v>1699</v>
      </c>
      <c r="G40" s="10" t="s">
        <v>1704</v>
      </c>
      <c r="H40" s="8" t="n">
        <f aca="false">LEN(G40)</f>
        <v>51</v>
      </c>
      <c r="I40" s="8" t="str">
        <f aca="false">IF(H40&lt;=60,"OK","Largo")</f>
        <v>OK</v>
      </c>
      <c r="J40" s="10" t="s">
        <v>1705</v>
      </c>
      <c r="K40" s="8" t="n">
        <f aca="false">LEN(J40)</f>
        <v>150</v>
      </c>
      <c r="L40" s="8" t="str">
        <f aca="false">IF(AND(K40&gt;=120,K40&lt;=155),"OK",IF(K40&lt;120,"Corta","Larga"))</f>
        <v>OK</v>
      </c>
      <c r="M40" s="9" t="s">
        <v>1539</v>
      </c>
    </row>
    <row r="41" customFormat="false" ht="23.85" hidden="false" customHeight="false" outlineLevel="0" collapsed="false">
      <c r="A41" s="8" t="s">
        <v>1706</v>
      </c>
      <c r="B41" s="9" t="s">
        <v>1707</v>
      </c>
      <c r="C41" s="8" t="n">
        <v>11</v>
      </c>
      <c r="D41" s="8" t="s">
        <v>1612</v>
      </c>
      <c r="E41" s="8" t="s">
        <v>1549</v>
      </c>
      <c r="F41" s="9" t="s">
        <v>1578</v>
      </c>
      <c r="G41" s="10" t="s">
        <v>1708</v>
      </c>
      <c r="H41" s="8" t="n">
        <f aca="false">LEN(G41)</f>
        <v>40</v>
      </c>
      <c r="I41" s="8" t="str">
        <f aca="false">IF(H41&lt;=60,"OK","Largo")</f>
        <v>OK</v>
      </c>
      <c r="J41" s="10" t="s">
        <v>1709</v>
      </c>
      <c r="K41" s="8" t="n">
        <f aca="false">LEN(J41)</f>
        <v>139</v>
      </c>
      <c r="L41" s="8" t="str">
        <f aca="false">IF(AND(K41&gt;=120,K41&lt;=155),"OK",IF(K41&lt;120,"Corta","Larga"))</f>
        <v>OK</v>
      </c>
      <c r="M41" s="9" t="s">
        <v>1539</v>
      </c>
    </row>
    <row r="42" customFormat="false" ht="23.85" hidden="false" customHeight="false" outlineLevel="0" collapsed="false">
      <c r="A42" s="8" t="s">
        <v>1710</v>
      </c>
      <c r="B42" s="9" t="s">
        <v>1711</v>
      </c>
      <c r="C42" s="8" t="n">
        <v>4</v>
      </c>
      <c r="D42" s="8" t="s">
        <v>1612</v>
      </c>
      <c r="E42" s="8" t="s">
        <v>1542</v>
      </c>
      <c r="F42" s="9" t="s">
        <v>1591</v>
      </c>
      <c r="G42" s="10" t="s">
        <v>1712</v>
      </c>
      <c r="H42" s="8" t="n">
        <f aca="false">LEN(G42)</f>
        <v>41</v>
      </c>
      <c r="I42" s="8" t="str">
        <f aca="false">IF(H42&lt;=60,"OK","Largo")</f>
        <v>OK</v>
      </c>
      <c r="J42" s="10" t="s">
        <v>1713</v>
      </c>
      <c r="K42" s="8" t="n">
        <f aca="false">LEN(J42)</f>
        <v>140</v>
      </c>
      <c r="L42" s="8" t="str">
        <f aca="false">IF(AND(K42&gt;=120,K42&lt;=155),"OK",IF(K42&lt;120,"Corta","Larga"))</f>
        <v>OK</v>
      </c>
      <c r="M42" s="9" t="s">
        <v>1539</v>
      </c>
    </row>
    <row r="43" customFormat="false" ht="23.85" hidden="false" customHeight="false" outlineLevel="0" collapsed="false">
      <c r="A43" s="8" t="s">
        <v>1714</v>
      </c>
      <c r="B43" s="9" t="s">
        <v>1715</v>
      </c>
      <c r="C43" s="8" t="n">
        <v>2</v>
      </c>
      <c r="D43" s="8" t="s">
        <v>1612</v>
      </c>
      <c r="E43" s="8" t="s">
        <v>1542</v>
      </c>
      <c r="F43" s="9" t="s">
        <v>1591</v>
      </c>
      <c r="G43" s="10" t="s">
        <v>1716</v>
      </c>
      <c r="H43" s="8" t="n">
        <f aca="false">LEN(G43)</f>
        <v>40</v>
      </c>
      <c r="I43" s="8" t="str">
        <f aca="false">IF(H43&lt;=60,"OK","Largo")</f>
        <v>OK</v>
      </c>
      <c r="J43" s="10" t="s">
        <v>1717</v>
      </c>
      <c r="K43" s="8" t="n">
        <f aca="false">LEN(J43)</f>
        <v>139</v>
      </c>
      <c r="L43" s="8" t="str">
        <f aca="false">IF(AND(K43&gt;=120,K43&lt;=155),"OK",IF(K43&lt;120,"Corta","Larga"))</f>
        <v>OK</v>
      </c>
      <c r="M43" s="9" t="s">
        <v>1539</v>
      </c>
    </row>
    <row r="44" customFormat="false" ht="35.05" hidden="false" customHeight="false" outlineLevel="0" collapsed="false">
      <c r="A44" s="8" t="s">
        <v>1718</v>
      </c>
      <c r="B44" s="9" t="s">
        <v>1719</v>
      </c>
      <c r="C44" s="8" t="n">
        <v>7</v>
      </c>
      <c r="D44" s="8" t="s">
        <v>1612</v>
      </c>
      <c r="E44" s="8" t="s">
        <v>1542</v>
      </c>
      <c r="F44" s="9" t="s">
        <v>1591</v>
      </c>
      <c r="G44" s="10" t="s">
        <v>1720</v>
      </c>
      <c r="H44" s="8" t="n">
        <f aca="false">LEN(G44)</f>
        <v>46</v>
      </c>
      <c r="I44" s="8" t="str">
        <f aca="false">IF(H44&lt;=60,"OK","Largo")</f>
        <v>OK</v>
      </c>
      <c r="J44" s="10" t="s">
        <v>1721</v>
      </c>
      <c r="K44" s="8" t="n">
        <f aca="false">LEN(J44)</f>
        <v>145</v>
      </c>
      <c r="L44" s="8" t="str">
        <f aca="false">IF(AND(K44&gt;=120,K44&lt;=155),"OK",IF(K44&lt;120,"Corta","Larga"))</f>
        <v>OK</v>
      </c>
      <c r="M44" s="9" t="s">
        <v>1539</v>
      </c>
    </row>
    <row r="45" customFormat="false" ht="35.05" hidden="false" customHeight="false" outlineLevel="0" collapsed="false">
      <c r="A45" s="8" t="s">
        <v>1722</v>
      </c>
      <c r="B45" s="9" t="s">
        <v>1723</v>
      </c>
      <c r="C45" s="8" t="n">
        <v>8</v>
      </c>
      <c r="D45" s="8" t="s">
        <v>1612</v>
      </c>
      <c r="E45" s="8" t="s">
        <v>1549</v>
      </c>
      <c r="F45" s="9" t="s">
        <v>1578</v>
      </c>
      <c r="G45" s="10" t="s">
        <v>1724</v>
      </c>
      <c r="H45" s="8" t="n">
        <f aca="false">LEN(G45)</f>
        <v>56</v>
      </c>
      <c r="I45" s="8" t="str">
        <f aca="false">IF(H45&lt;=60,"OK","Largo")</f>
        <v>OK</v>
      </c>
      <c r="J45" s="10" t="s">
        <v>1725</v>
      </c>
      <c r="K45" s="8" t="n">
        <f aca="false">LEN(J45)</f>
        <v>155</v>
      </c>
      <c r="L45" s="8" t="str">
        <f aca="false">IF(AND(K45&gt;=120,K45&lt;=155),"OK",IF(K45&lt;120,"Corta","Larga"))</f>
        <v>OK</v>
      </c>
      <c r="M45" s="9" t="s">
        <v>1539</v>
      </c>
    </row>
    <row r="46" customFormat="false" ht="23.85" hidden="false" customHeight="false" outlineLevel="0" collapsed="false">
      <c r="A46" s="8" t="s">
        <v>1726</v>
      </c>
      <c r="B46" s="9" t="s">
        <v>1727</v>
      </c>
      <c r="C46" s="8" t="n">
        <v>2</v>
      </c>
      <c r="D46" s="8" t="s">
        <v>1612</v>
      </c>
      <c r="E46" s="8" t="s">
        <v>1542</v>
      </c>
      <c r="F46" s="9" t="s">
        <v>1591</v>
      </c>
      <c r="G46" s="10" t="s">
        <v>1728</v>
      </c>
      <c r="H46" s="8" t="n">
        <f aca="false">LEN(G46)</f>
        <v>47</v>
      </c>
      <c r="I46" s="8" t="str">
        <f aca="false">IF(H46&lt;=60,"OK","Largo")</f>
        <v>OK</v>
      </c>
      <c r="J46" s="10" t="s">
        <v>1729</v>
      </c>
      <c r="K46" s="8" t="n">
        <f aca="false">LEN(J46)</f>
        <v>146</v>
      </c>
      <c r="L46" s="8" t="str">
        <f aca="false">IF(AND(K46&gt;=120,K46&lt;=155),"OK",IF(K46&lt;120,"Corta","Larga"))</f>
        <v>OK</v>
      </c>
      <c r="M46" s="9" t="s">
        <v>1539</v>
      </c>
    </row>
    <row r="47" customFormat="false" ht="35.05" hidden="false" customHeight="false" outlineLevel="0" collapsed="false">
      <c r="A47" s="8" t="s">
        <v>1730</v>
      </c>
      <c r="B47" s="9" t="s">
        <v>1731</v>
      </c>
      <c r="C47" s="8" t="n">
        <v>10</v>
      </c>
      <c r="D47" s="8" t="s">
        <v>1612</v>
      </c>
      <c r="E47" s="8" t="s">
        <v>1549</v>
      </c>
      <c r="F47" s="9" t="s">
        <v>1578</v>
      </c>
      <c r="G47" s="10" t="s">
        <v>1732</v>
      </c>
      <c r="H47" s="8" t="n">
        <f aca="false">LEN(G47)</f>
        <v>55</v>
      </c>
      <c r="I47" s="8" t="str">
        <f aca="false">IF(H47&lt;=60,"OK","Largo")</f>
        <v>OK</v>
      </c>
      <c r="J47" s="10" t="s">
        <v>1733</v>
      </c>
      <c r="K47" s="8" t="n">
        <f aca="false">LEN(J47)</f>
        <v>154</v>
      </c>
      <c r="L47" s="8" t="str">
        <f aca="false">IF(AND(K47&gt;=120,K47&lt;=155),"OK",IF(K47&lt;120,"Corta","Larga"))</f>
        <v>OK</v>
      </c>
      <c r="M47" s="9" t="s">
        <v>1539</v>
      </c>
    </row>
    <row r="48" customFormat="false" ht="35.05" hidden="false" customHeight="false" outlineLevel="0" collapsed="false">
      <c r="A48" s="8" t="s">
        <v>1734</v>
      </c>
      <c r="B48" s="9" t="s">
        <v>1735</v>
      </c>
      <c r="C48" s="8" t="n">
        <v>19</v>
      </c>
      <c r="D48" s="8" t="s">
        <v>1612</v>
      </c>
      <c r="E48" s="8" t="s">
        <v>1549</v>
      </c>
      <c r="F48" s="9" t="s">
        <v>1578</v>
      </c>
      <c r="G48" s="10" t="s">
        <v>1736</v>
      </c>
      <c r="H48" s="8" t="n">
        <f aca="false">LEN(G48)</f>
        <v>54</v>
      </c>
      <c r="I48" s="8" t="str">
        <f aca="false">IF(H48&lt;=60,"OK","Largo")</f>
        <v>OK</v>
      </c>
      <c r="J48" s="10" t="s">
        <v>1737</v>
      </c>
      <c r="K48" s="8" t="n">
        <f aca="false">LEN(J48)</f>
        <v>153</v>
      </c>
      <c r="L48" s="8" t="str">
        <f aca="false">IF(AND(K48&gt;=120,K48&lt;=155),"OK",IF(K48&lt;120,"Corta","Larga"))</f>
        <v>OK</v>
      </c>
      <c r="M48" s="9" t="s">
        <v>1539</v>
      </c>
    </row>
    <row r="49" customFormat="false" ht="23.85" hidden="false" customHeight="false" outlineLevel="0" collapsed="false">
      <c r="A49" s="8" t="s">
        <v>1738</v>
      </c>
      <c r="B49" s="9" t="s">
        <v>1739</v>
      </c>
      <c r="C49" s="8" t="n">
        <v>0</v>
      </c>
      <c r="D49" s="8" t="s">
        <v>1603</v>
      </c>
      <c r="E49" s="8" t="s">
        <v>1535</v>
      </c>
      <c r="F49" s="9" t="s">
        <v>1608</v>
      </c>
      <c r="G49" s="10" t="s">
        <v>1740</v>
      </c>
      <c r="H49" s="8" t="n">
        <f aca="false">LEN(G49)</f>
        <v>49</v>
      </c>
      <c r="I49" s="8" t="str">
        <f aca="false">IF(H49&lt;=60,"OK","Largo")</f>
        <v>OK</v>
      </c>
      <c r="J49" s="10" t="s">
        <v>1741</v>
      </c>
      <c r="K49" s="8" t="n">
        <f aca="false">LEN(J49)</f>
        <v>148</v>
      </c>
      <c r="L49" s="8" t="str">
        <f aca="false">IF(AND(K49&gt;=120,K49&lt;=155),"OK",IF(K49&lt;120,"Corta","Larga"))</f>
        <v>OK</v>
      </c>
      <c r="M49" s="9" t="s">
        <v>1539</v>
      </c>
    </row>
    <row r="50" customFormat="false" ht="23.85" hidden="false" customHeight="false" outlineLevel="0" collapsed="false">
      <c r="A50" s="8" t="s">
        <v>1742</v>
      </c>
      <c r="B50" s="9" t="s">
        <v>1743</v>
      </c>
      <c r="C50" s="8" t="n">
        <v>0</v>
      </c>
      <c r="D50" s="8" t="s">
        <v>1603</v>
      </c>
      <c r="E50" s="8" t="s">
        <v>1535</v>
      </c>
      <c r="F50" s="9" t="s">
        <v>1608</v>
      </c>
      <c r="G50" s="10" t="s">
        <v>1740</v>
      </c>
      <c r="H50" s="8" t="n">
        <f aca="false">LEN(G50)</f>
        <v>49</v>
      </c>
      <c r="I50" s="8" t="str">
        <f aca="false">IF(H50&lt;=60,"OK","Largo")</f>
        <v>OK</v>
      </c>
      <c r="J50" s="10" t="s">
        <v>1744</v>
      </c>
      <c r="K50" s="8" t="n">
        <f aca="false">LEN(J50)</f>
        <v>146</v>
      </c>
      <c r="L50" s="8" t="str">
        <f aca="false">IF(AND(K50&gt;=120,K50&lt;=155),"OK",IF(K50&lt;120,"Corta","Larga"))</f>
        <v>OK</v>
      </c>
      <c r="M50" s="9" t="s">
        <v>1539</v>
      </c>
    </row>
    <row r="51" customFormat="false" ht="23.85" hidden="false" customHeight="false" outlineLevel="0" collapsed="false">
      <c r="A51" s="8" t="s">
        <v>1745</v>
      </c>
      <c r="B51" s="9" t="s">
        <v>1746</v>
      </c>
      <c r="C51" s="8" t="n">
        <v>0</v>
      </c>
      <c r="D51" s="8" t="s">
        <v>1603</v>
      </c>
      <c r="E51" s="8" t="s">
        <v>1535</v>
      </c>
      <c r="F51" s="9" t="s">
        <v>1608</v>
      </c>
      <c r="G51" s="10" t="s">
        <v>1747</v>
      </c>
      <c r="H51" s="8" t="n">
        <f aca="false">LEN(G51)</f>
        <v>53</v>
      </c>
      <c r="I51" s="8" t="str">
        <f aca="false">IF(H51&lt;=60,"OK","Largo")</f>
        <v>OK</v>
      </c>
      <c r="J51" s="10" t="s">
        <v>1748</v>
      </c>
      <c r="K51" s="8" t="n">
        <f aca="false">LEN(J51)</f>
        <v>132</v>
      </c>
      <c r="L51" s="8" t="str">
        <f aca="false">IF(AND(K51&gt;=120,K51&lt;=155),"OK",IF(K51&lt;120,"Corta","Larga"))</f>
        <v>OK</v>
      </c>
      <c r="M51" s="9" t="s">
        <v>1539</v>
      </c>
    </row>
    <row r="52" customFormat="false" ht="23.85" hidden="false" customHeight="false" outlineLevel="0" collapsed="false">
      <c r="A52" s="8" t="s">
        <v>1749</v>
      </c>
      <c r="B52" s="9" t="s">
        <v>1750</v>
      </c>
      <c r="C52" s="8" t="n">
        <v>2</v>
      </c>
      <c r="D52" s="8" t="s">
        <v>1603</v>
      </c>
      <c r="E52" s="8" t="s">
        <v>1542</v>
      </c>
      <c r="F52" s="9" t="s">
        <v>1591</v>
      </c>
      <c r="G52" s="10" t="s">
        <v>1751</v>
      </c>
      <c r="H52" s="8" t="n">
        <f aca="false">LEN(G52)</f>
        <v>59</v>
      </c>
      <c r="I52" s="8" t="str">
        <f aca="false">IF(H52&lt;=60,"OK","Largo")</f>
        <v>OK</v>
      </c>
      <c r="J52" s="10" t="s">
        <v>1752</v>
      </c>
      <c r="K52" s="8" t="n">
        <f aca="false">LEN(J52)</f>
        <v>129</v>
      </c>
      <c r="L52" s="8" t="str">
        <f aca="false">IF(AND(K52&gt;=120,K52&lt;=155),"OK",IF(K52&lt;120,"Corta","Larga"))</f>
        <v>OK</v>
      </c>
      <c r="M52" s="9" t="s">
        <v>1539</v>
      </c>
    </row>
    <row r="53" customFormat="false" ht="23.85" hidden="false" customHeight="false" outlineLevel="0" collapsed="false">
      <c r="A53" s="8" t="s">
        <v>1753</v>
      </c>
      <c r="B53" s="9" t="s">
        <v>1754</v>
      </c>
      <c r="C53" s="8" t="n">
        <v>11</v>
      </c>
      <c r="D53" s="8" t="s">
        <v>1612</v>
      </c>
      <c r="E53" s="8" t="s">
        <v>1549</v>
      </c>
      <c r="F53" s="9" t="s">
        <v>1578</v>
      </c>
      <c r="G53" s="10" t="s">
        <v>1755</v>
      </c>
      <c r="H53" s="8" t="n">
        <f aca="false">LEN(G53)</f>
        <v>42</v>
      </c>
      <c r="I53" s="8" t="str">
        <f aca="false">IF(H53&lt;=60,"OK","Largo")</f>
        <v>OK</v>
      </c>
      <c r="J53" s="10" t="s">
        <v>1756</v>
      </c>
      <c r="K53" s="8" t="n">
        <f aca="false">LEN(J53)</f>
        <v>141</v>
      </c>
      <c r="L53" s="8" t="str">
        <f aca="false">IF(AND(K53&gt;=120,K53&lt;=155),"OK",IF(K53&lt;120,"Corta","Larga"))</f>
        <v>OK</v>
      </c>
      <c r="M53" s="9" t="s">
        <v>1539</v>
      </c>
    </row>
    <row r="54" customFormat="false" ht="23.85" hidden="false" customHeight="false" outlineLevel="0" collapsed="false">
      <c r="A54" s="8" t="s">
        <v>1757</v>
      </c>
      <c r="B54" s="9" t="s">
        <v>1758</v>
      </c>
      <c r="C54" s="8" t="n">
        <v>8</v>
      </c>
      <c r="D54" s="8" t="s">
        <v>1612</v>
      </c>
      <c r="E54" s="8" t="s">
        <v>1549</v>
      </c>
      <c r="F54" s="9" t="s">
        <v>1578</v>
      </c>
      <c r="G54" s="10" t="s">
        <v>1759</v>
      </c>
      <c r="H54" s="8" t="n">
        <f aca="false">LEN(G54)</f>
        <v>59</v>
      </c>
      <c r="I54" s="8" t="str">
        <f aca="false">IF(H54&lt;=60,"OK","Largo")</f>
        <v>OK</v>
      </c>
      <c r="J54" s="10" t="s">
        <v>1760</v>
      </c>
      <c r="K54" s="8" t="n">
        <f aca="false">LEN(J54)</f>
        <v>132</v>
      </c>
      <c r="L54" s="8" t="str">
        <f aca="false">IF(AND(K54&gt;=120,K54&lt;=155),"OK",IF(K54&lt;120,"Corta","Larga"))</f>
        <v>OK</v>
      </c>
      <c r="M54" s="9" t="s">
        <v>1539</v>
      </c>
    </row>
    <row r="55" customFormat="false" ht="23.85" hidden="false" customHeight="false" outlineLevel="0" collapsed="false">
      <c r="A55" s="8" t="s">
        <v>1761</v>
      </c>
      <c r="B55" s="9" t="s">
        <v>1762</v>
      </c>
      <c r="C55" s="8" t="n">
        <v>3</v>
      </c>
      <c r="D55" s="8" t="s">
        <v>1603</v>
      </c>
      <c r="E55" s="8" t="s">
        <v>1542</v>
      </c>
      <c r="F55" s="9" t="s">
        <v>1591</v>
      </c>
      <c r="G55" s="10" t="s">
        <v>1763</v>
      </c>
      <c r="H55" s="8" t="n">
        <f aca="false">LEN(G55)</f>
        <v>54</v>
      </c>
      <c r="I55" s="8" t="str">
        <f aca="false">IF(H55&lt;=60,"OK","Largo")</f>
        <v>OK</v>
      </c>
      <c r="J55" s="10" t="s">
        <v>1764</v>
      </c>
      <c r="K55" s="8" t="n">
        <f aca="false">LEN(J55)</f>
        <v>133</v>
      </c>
      <c r="L55" s="8" t="str">
        <f aca="false">IF(AND(K55&gt;=120,K55&lt;=155),"OK",IF(K55&lt;120,"Corta","Larga"))</f>
        <v>OK</v>
      </c>
      <c r="M55" s="9" t="s">
        <v>1539</v>
      </c>
    </row>
    <row r="56" customFormat="false" ht="23.85" hidden="false" customHeight="false" outlineLevel="0" collapsed="false">
      <c r="A56" s="8" t="s">
        <v>1765</v>
      </c>
      <c r="B56" s="9" t="s">
        <v>1766</v>
      </c>
      <c r="C56" s="8" t="n">
        <v>1</v>
      </c>
      <c r="D56" s="8" t="s">
        <v>1603</v>
      </c>
      <c r="E56" s="8" t="s">
        <v>1535</v>
      </c>
      <c r="F56" s="9" t="s">
        <v>1767</v>
      </c>
      <c r="G56" s="10" t="s">
        <v>1768</v>
      </c>
      <c r="H56" s="8" t="n">
        <f aca="false">LEN(G56)</f>
        <v>57</v>
      </c>
      <c r="I56" s="8" t="str">
        <f aca="false">IF(H56&lt;=60,"OK","Largo")</f>
        <v>OK</v>
      </c>
      <c r="J56" s="10" t="s">
        <v>1769</v>
      </c>
      <c r="K56" s="8" t="n">
        <f aca="false">LEN(J56)</f>
        <v>136</v>
      </c>
      <c r="L56" s="8" t="str">
        <f aca="false">IF(AND(K56&gt;=120,K56&lt;=155),"OK",IF(K56&lt;120,"Corta","Larga"))</f>
        <v>OK</v>
      </c>
      <c r="M56" s="9" t="s">
        <v>1539</v>
      </c>
    </row>
    <row r="57" customFormat="false" ht="23.85" hidden="false" customHeight="false" outlineLevel="0" collapsed="false">
      <c r="A57" s="8" t="s">
        <v>1770</v>
      </c>
      <c r="B57" s="9" t="s">
        <v>1771</v>
      </c>
      <c r="C57" s="8" t="n">
        <v>1</v>
      </c>
      <c r="D57" s="8" t="s">
        <v>1612</v>
      </c>
      <c r="E57" s="8" t="s">
        <v>1535</v>
      </c>
      <c r="F57" s="9" t="s">
        <v>1772</v>
      </c>
      <c r="G57" s="10" t="s">
        <v>1773</v>
      </c>
      <c r="H57" s="8" t="n">
        <f aca="false">LEN(G57)</f>
        <v>59</v>
      </c>
      <c r="I57" s="8" t="str">
        <f aca="false">IF(H57&lt;=60,"OK","Largo")</f>
        <v>OK</v>
      </c>
      <c r="J57" s="10" t="s">
        <v>1774</v>
      </c>
      <c r="K57" s="8" t="n">
        <f aca="false">LEN(J57)</f>
        <v>132</v>
      </c>
      <c r="L57" s="8" t="str">
        <f aca="false">IF(AND(K57&gt;=120,K57&lt;=155),"OK",IF(K57&lt;120,"Corta","Larga"))</f>
        <v>OK</v>
      </c>
      <c r="M57" s="9" t="s">
        <v>1539</v>
      </c>
    </row>
    <row r="58" customFormat="false" ht="35.05" hidden="false" customHeight="false" outlineLevel="0" collapsed="false">
      <c r="A58" s="8" t="s">
        <v>1775</v>
      </c>
      <c r="B58" s="9" t="s">
        <v>1776</v>
      </c>
      <c r="C58" s="8" t="n">
        <v>2</v>
      </c>
      <c r="D58" s="8" t="s">
        <v>1612</v>
      </c>
      <c r="E58" s="8" t="s">
        <v>1542</v>
      </c>
      <c r="F58" s="9" t="s">
        <v>1591</v>
      </c>
      <c r="G58" s="10" t="s">
        <v>1777</v>
      </c>
      <c r="H58" s="8" t="n">
        <f aca="false">LEN(G58)</f>
        <v>56</v>
      </c>
      <c r="I58" s="8" t="str">
        <f aca="false">IF(H58&lt;=60,"OK","Largo")</f>
        <v>OK</v>
      </c>
      <c r="J58" s="10" t="s">
        <v>1778</v>
      </c>
      <c r="K58" s="8" t="n">
        <f aca="false">LEN(J58)</f>
        <v>155</v>
      </c>
      <c r="L58" s="8" t="str">
        <f aca="false">IF(AND(K58&gt;=120,K58&lt;=155),"OK",IF(K58&lt;120,"Corta","Larga"))</f>
        <v>OK</v>
      </c>
      <c r="M58" s="9" t="s">
        <v>1539</v>
      </c>
    </row>
    <row r="59" customFormat="false" ht="23.85" hidden="false" customHeight="false" outlineLevel="0" collapsed="false">
      <c r="A59" s="8" t="s">
        <v>1779</v>
      </c>
      <c r="B59" s="9" t="s">
        <v>1780</v>
      </c>
      <c r="C59" s="8" t="n">
        <v>5</v>
      </c>
      <c r="D59" s="8" t="s">
        <v>1612</v>
      </c>
      <c r="E59" s="8" t="s">
        <v>1542</v>
      </c>
      <c r="F59" s="9" t="s">
        <v>1591</v>
      </c>
      <c r="G59" s="10" t="s">
        <v>1781</v>
      </c>
      <c r="H59" s="8" t="n">
        <f aca="false">LEN(G59)</f>
        <v>46</v>
      </c>
      <c r="I59" s="8" t="str">
        <f aca="false">IF(H59&lt;=60,"OK","Largo")</f>
        <v>OK</v>
      </c>
      <c r="J59" s="10" t="s">
        <v>1782</v>
      </c>
      <c r="K59" s="8" t="n">
        <f aca="false">LEN(J59)</f>
        <v>145</v>
      </c>
      <c r="L59" s="8" t="str">
        <f aca="false">IF(AND(K59&gt;=120,K59&lt;=155),"OK",IF(K59&lt;120,"Corta","Larga"))</f>
        <v>OK</v>
      </c>
      <c r="M59" s="9" t="s">
        <v>1539</v>
      </c>
    </row>
    <row r="60" customFormat="false" ht="35.05" hidden="false" customHeight="false" outlineLevel="0" collapsed="false">
      <c r="A60" s="8" t="s">
        <v>1783</v>
      </c>
      <c r="B60" s="9" t="s">
        <v>1784</v>
      </c>
      <c r="C60" s="8" t="n">
        <v>6</v>
      </c>
      <c r="D60" s="8" t="s">
        <v>1612</v>
      </c>
      <c r="E60" s="8" t="s">
        <v>1542</v>
      </c>
      <c r="F60" s="9" t="s">
        <v>1591</v>
      </c>
      <c r="G60" s="10" t="s">
        <v>1785</v>
      </c>
      <c r="H60" s="8" t="n">
        <f aca="false">LEN(G60)</f>
        <v>49</v>
      </c>
      <c r="I60" s="8" t="str">
        <f aca="false">IF(H60&lt;=60,"OK","Largo")</f>
        <v>OK</v>
      </c>
      <c r="J60" s="10" t="s">
        <v>1786</v>
      </c>
      <c r="K60" s="8" t="n">
        <f aca="false">LEN(J60)</f>
        <v>148</v>
      </c>
      <c r="L60" s="8" t="str">
        <f aca="false">IF(AND(K60&gt;=120,K60&lt;=155),"OK",IF(K60&lt;120,"Corta","Larga"))</f>
        <v>OK</v>
      </c>
      <c r="M60" s="9" t="s">
        <v>1539</v>
      </c>
    </row>
    <row r="61" customFormat="false" ht="23.85" hidden="false" customHeight="false" outlineLevel="0" collapsed="false">
      <c r="A61" s="8" t="s">
        <v>1787</v>
      </c>
      <c r="B61" s="9" t="s">
        <v>1788</v>
      </c>
      <c r="C61" s="8" t="n">
        <v>1</v>
      </c>
      <c r="D61" s="8" t="s">
        <v>1612</v>
      </c>
      <c r="E61" s="8" t="s">
        <v>1535</v>
      </c>
      <c r="F61" s="9" t="s">
        <v>1789</v>
      </c>
      <c r="G61" s="10" t="s">
        <v>1790</v>
      </c>
      <c r="H61" s="8" t="n">
        <f aca="false">LEN(G61)</f>
        <v>35</v>
      </c>
      <c r="I61" s="8" t="str">
        <f aca="false">IF(H61&lt;=60,"OK","Largo")</f>
        <v>OK</v>
      </c>
      <c r="J61" s="10" t="s">
        <v>1791</v>
      </c>
      <c r="K61" s="8" t="n">
        <f aca="false">LEN(J61)</f>
        <v>134</v>
      </c>
      <c r="L61" s="8" t="str">
        <f aca="false">IF(AND(K61&gt;=120,K61&lt;=155),"OK",IF(K61&lt;120,"Corta","Larga"))</f>
        <v>OK</v>
      </c>
      <c r="M61" s="9" t="s">
        <v>1539</v>
      </c>
    </row>
    <row r="62" customFormat="false" ht="23.85" hidden="false" customHeight="false" outlineLevel="0" collapsed="false">
      <c r="A62" s="8" t="s">
        <v>1792</v>
      </c>
      <c r="B62" s="9" t="s">
        <v>1793</v>
      </c>
      <c r="C62" s="8" t="n">
        <v>8</v>
      </c>
      <c r="D62" s="8" t="s">
        <v>1612</v>
      </c>
      <c r="E62" s="8" t="s">
        <v>1549</v>
      </c>
      <c r="F62" s="9" t="s">
        <v>1578</v>
      </c>
      <c r="G62" s="10" t="s">
        <v>1794</v>
      </c>
      <c r="H62" s="8" t="n">
        <f aca="false">LEN(G62)</f>
        <v>46</v>
      </c>
      <c r="I62" s="8" t="str">
        <f aca="false">IF(H62&lt;=60,"OK","Largo")</f>
        <v>OK</v>
      </c>
      <c r="J62" s="10" t="s">
        <v>1795</v>
      </c>
      <c r="K62" s="8" t="n">
        <f aca="false">LEN(J62)</f>
        <v>145</v>
      </c>
      <c r="L62" s="8" t="str">
        <f aca="false">IF(AND(K62&gt;=120,K62&lt;=155),"OK",IF(K62&lt;120,"Corta","Larga"))</f>
        <v>OK</v>
      </c>
      <c r="M62" s="9" t="s">
        <v>1539</v>
      </c>
    </row>
    <row r="63" customFormat="false" ht="23.85" hidden="false" customHeight="false" outlineLevel="0" collapsed="false">
      <c r="A63" s="8" t="s">
        <v>1796</v>
      </c>
      <c r="B63" s="9" t="s">
        <v>1797</v>
      </c>
      <c r="C63" s="8" t="n">
        <v>3</v>
      </c>
      <c r="D63" s="8" t="s">
        <v>1612</v>
      </c>
      <c r="E63" s="8" t="s">
        <v>1542</v>
      </c>
      <c r="F63" s="9" t="s">
        <v>1591</v>
      </c>
      <c r="G63" s="10" t="s">
        <v>1798</v>
      </c>
      <c r="H63" s="8" t="n">
        <f aca="false">LEN(G63)</f>
        <v>60</v>
      </c>
      <c r="I63" s="8" t="str">
        <f aca="false">IF(H63&lt;=60,"OK","Largo")</f>
        <v>OK</v>
      </c>
      <c r="J63" s="10" t="s">
        <v>1799</v>
      </c>
      <c r="K63" s="8" t="n">
        <f aca="false">LEN(J63)</f>
        <v>130</v>
      </c>
      <c r="L63" s="8" t="str">
        <f aca="false">IF(AND(K63&gt;=120,K63&lt;=155),"OK",IF(K63&lt;120,"Corta","Larga"))</f>
        <v>OK</v>
      </c>
      <c r="M63" s="9" t="s">
        <v>1539</v>
      </c>
    </row>
    <row r="64" customFormat="false" ht="23.85" hidden="false" customHeight="false" outlineLevel="0" collapsed="false">
      <c r="A64" s="8" t="s">
        <v>1800</v>
      </c>
      <c r="B64" s="9" t="s">
        <v>1801</v>
      </c>
      <c r="C64" s="8" t="n">
        <v>2</v>
      </c>
      <c r="D64" s="8" t="s">
        <v>1612</v>
      </c>
      <c r="E64" s="8" t="s">
        <v>1542</v>
      </c>
      <c r="F64" s="9" t="s">
        <v>1802</v>
      </c>
      <c r="G64" s="10" t="s">
        <v>1803</v>
      </c>
      <c r="H64" s="8" t="n">
        <f aca="false">LEN(G64)</f>
        <v>43</v>
      </c>
      <c r="I64" s="8" t="str">
        <f aca="false">IF(H64&lt;=60,"OK","Largo")</f>
        <v>OK</v>
      </c>
      <c r="J64" s="10" t="s">
        <v>1804</v>
      </c>
      <c r="K64" s="8" t="n">
        <f aca="false">LEN(J64)</f>
        <v>142</v>
      </c>
      <c r="L64" s="8" t="str">
        <f aca="false">IF(AND(K64&gt;=120,K64&lt;=155),"OK",IF(K64&lt;120,"Corta","Larga"))</f>
        <v>OK</v>
      </c>
      <c r="M64" s="9" t="s">
        <v>1539</v>
      </c>
    </row>
    <row r="65" customFormat="false" ht="35.05" hidden="false" customHeight="false" outlineLevel="0" collapsed="false">
      <c r="A65" s="8" t="s">
        <v>1805</v>
      </c>
      <c r="B65" s="9" t="s">
        <v>1806</v>
      </c>
      <c r="C65" s="8" t="n">
        <v>1</v>
      </c>
      <c r="D65" s="8" t="s">
        <v>1612</v>
      </c>
      <c r="E65" s="8" t="s">
        <v>1535</v>
      </c>
      <c r="F65" s="9" t="s">
        <v>1655</v>
      </c>
      <c r="G65" s="10" t="s">
        <v>1807</v>
      </c>
      <c r="H65" s="8" t="n">
        <f aca="false">LEN(G65)</f>
        <v>54</v>
      </c>
      <c r="I65" s="8" t="str">
        <f aca="false">IF(H65&lt;=60,"OK","Largo")</f>
        <v>OK</v>
      </c>
      <c r="J65" s="10" t="s">
        <v>1808</v>
      </c>
      <c r="K65" s="8" t="n">
        <f aca="false">LEN(J65)</f>
        <v>153</v>
      </c>
      <c r="L65" s="8" t="str">
        <f aca="false">IF(AND(K65&gt;=120,K65&lt;=155),"OK",IF(K65&lt;120,"Corta","Larga"))</f>
        <v>OK</v>
      </c>
      <c r="M65" s="9" t="s">
        <v>1539</v>
      </c>
    </row>
    <row r="66" customFormat="false" ht="35.05" hidden="false" customHeight="false" outlineLevel="0" collapsed="false">
      <c r="A66" s="8" t="s">
        <v>1809</v>
      </c>
      <c r="B66" s="9" t="s">
        <v>1810</v>
      </c>
      <c r="C66" s="8" t="n">
        <v>1</v>
      </c>
      <c r="D66" s="8" t="s">
        <v>1612</v>
      </c>
      <c r="E66" s="8" t="s">
        <v>1535</v>
      </c>
      <c r="F66" s="9" t="s">
        <v>1811</v>
      </c>
      <c r="G66" s="10" t="s">
        <v>1812</v>
      </c>
      <c r="H66" s="8" t="n">
        <f aca="false">LEN(G66)</f>
        <v>55</v>
      </c>
      <c r="I66" s="8" t="str">
        <f aca="false">IF(H66&lt;=60,"OK","Largo")</f>
        <v>OK</v>
      </c>
      <c r="J66" s="10" t="s">
        <v>1813</v>
      </c>
      <c r="K66" s="8" t="n">
        <f aca="false">LEN(J66)</f>
        <v>154</v>
      </c>
      <c r="L66" s="8" t="str">
        <f aca="false">IF(AND(K66&gt;=120,K66&lt;=155),"OK",IF(K66&lt;120,"Corta","Larga"))</f>
        <v>OK</v>
      </c>
      <c r="M66" s="9" t="s">
        <v>1539</v>
      </c>
    </row>
    <row r="67" customFormat="false" ht="23.85" hidden="false" customHeight="false" outlineLevel="0" collapsed="false">
      <c r="A67" s="8" t="s">
        <v>1814</v>
      </c>
      <c r="B67" s="9" t="s">
        <v>1815</v>
      </c>
      <c r="C67" s="8" t="n">
        <v>15</v>
      </c>
      <c r="D67" s="8" t="s">
        <v>1612</v>
      </c>
      <c r="E67" s="8" t="s">
        <v>1549</v>
      </c>
      <c r="F67" s="9" t="s">
        <v>1578</v>
      </c>
      <c r="G67" s="10" t="s">
        <v>1816</v>
      </c>
      <c r="H67" s="8" t="n">
        <f aca="false">LEN(G67)</f>
        <v>41</v>
      </c>
      <c r="I67" s="8" t="str">
        <f aca="false">IF(H67&lt;=60,"OK","Largo")</f>
        <v>OK</v>
      </c>
      <c r="J67" s="10" t="s">
        <v>1817</v>
      </c>
      <c r="K67" s="8" t="n">
        <f aca="false">LEN(J67)</f>
        <v>140</v>
      </c>
      <c r="L67" s="8" t="str">
        <f aca="false">IF(AND(K67&gt;=120,K67&lt;=155),"OK",IF(K67&lt;120,"Corta","Larga"))</f>
        <v>OK</v>
      </c>
      <c r="M67" s="9" t="s">
        <v>1539</v>
      </c>
    </row>
    <row r="68" customFormat="false" ht="23.85" hidden="false" customHeight="false" outlineLevel="0" collapsed="false">
      <c r="A68" s="8" t="s">
        <v>1818</v>
      </c>
      <c r="B68" s="9" t="s">
        <v>1819</v>
      </c>
      <c r="C68" s="8" t="n">
        <v>2</v>
      </c>
      <c r="D68" s="8" t="s">
        <v>1612</v>
      </c>
      <c r="E68" s="8" t="s">
        <v>1542</v>
      </c>
      <c r="F68" s="9" t="s">
        <v>1591</v>
      </c>
      <c r="G68" s="10" t="s">
        <v>1820</v>
      </c>
      <c r="H68" s="8" t="n">
        <f aca="false">LEN(G68)</f>
        <v>36</v>
      </c>
      <c r="I68" s="8" t="str">
        <f aca="false">IF(H68&lt;=60,"OK","Largo")</f>
        <v>OK</v>
      </c>
      <c r="J68" s="10" t="s">
        <v>1821</v>
      </c>
      <c r="K68" s="8" t="n">
        <f aca="false">LEN(J68)</f>
        <v>135</v>
      </c>
      <c r="L68" s="8" t="str">
        <f aca="false">IF(AND(K68&gt;=120,K68&lt;=155),"OK",IF(K68&lt;120,"Corta","Larga"))</f>
        <v>OK</v>
      </c>
      <c r="M68" s="9" t="s">
        <v>1539</v>
      </c>
    </row>
    <row r="69" customFormat="false" ht="35.05" hidden="false" customHeight="false" outlineLevel="0" collapsed="false">
      <c r="A69" s="8" t="s">
        <v>1822</v>
      </c>
      <c r="B69" s="9" t="s">
        <v>1823</v>
      </c>
      <c r="C69" s="8" t="n">
        <v>2</v>
      </c>
      <c r="D69" s="8" t="s">
        <v>1612</v>
      </c>
      <c r="E69" s="8" t="s">
        <v>1542</v>
      </c>
      <c r="F69" s="9" t="s">
        <v>1591</v>
      </c>
      <c r="G69" s="10" t="s">
        <v>1824</v>
      </c>
      <c r="H69" s="8" t="n">
        <f aca="false">LEN(G69)</f>
        <v>52</v>
      </c>
      <c r="I69" s="8" t="str">
        <f aca="false">IF(H69&lt;=60,"OK","Largo")</f>
        <v>OK</v>
      </c>
      <c r="J69" s="10" t="s">
        <v>1825</v>
      </c>
      <c r="K69" s="8" t="n">
        <f aca="false">LEN(J69)</f>
        <v>151</v>
      </c>
      <c r="L69" s="8" t="str">
        <f aca="false">IF(AND(K69&gt;=120,K69&lt;=155),"OK",IF(K69&lt;120,"Corta","Larga"))</f>
        <v>OK</v>
      </c>
      <c r="M69" s="9" t="s">
        <v>1539</v>
      </c>
    </row>
    <row r="70" customFormat="false" ht="23.85" hidden="false" customHeight="false" outlineLevel="0" collapsed="false">
      <c r="A70" s="8" t="s">
        <v>1826</v>
      </c>
      <c r="B70" s="9" t="s">
        <v>1827</v>
      </c>
      <c r="C70" s="8" t="n">
        <v>3</v>
      </c>
      <c r="D70" s="8" t="s">
        <v>1828</v>
      </c>
      <c r="E70" s="8" t="s">
        <v>1542</v>
      </c>
      <c r="F70" s="9" t="s">
        <v>1829</v>
      </c>
      <c r="G70" s="10" t="s">
        <v>1830</v>
      </c>
      <c r="H70" s="8" t="n">
        <f aca="false">LEN(G70)</f>
        <v>46</v>
      </c>
      <c r="I70" s="8" t="str">
        <f aca="false">IF(H70&lt;=60,"OK","Largo")</f>
        <v>OK</v>
      </c>
      <c r="J70" s="10" t="s">
        <v>1831</v>
      </c>
      <c r="K70" s="8" t="n">
        <f aca="false">LEN(J70)</f>
        <v>134</v>
      </c>
      <c r="L70" s="8" t="str">
        <f aca="false">IF(AND(K70&gt;=120,K70&lt;=155),"OK",IF(K70&lt;120,"Corta","Larga"))</f>
        <v>OK</v>
      </c>
      <c r="M70" s="9" t="s">
        <v>1539</v>
      </c>
    </row>
    <row r="71" customFormat="false" ht="23.85" hidden="false" customHeight="false" outlineLevel="0" collapsed="false">
      <c r="A71" s="8" t="s">
        <v>1832</v>
      </c>
      <c r="B71" s="9" t="s">
        <v>1833</v>
      </c>
      <c r="C71" s="8" t="n">
        <v>11</v>
      </c>
      <c r="D71" s="8" t="s">
        <v>1828</v>
      </c>
      <c r="E71" s="8" t="s">
        <v>1549</v>
      </c>
      <c r="F71" s="9" t="s">
        <v>1829</v>
      </c>
      <c r="G71" s="10" t="s">
        <v>1834</v>
      </c>
      <c r="H71" s="8" t="n">
        <f aca="false">LEN(G71)</f>
        <v>44</v>
      </c>
      <c r="I71" s="8" t="str">
        <f aca="false">IF(H71&lt;=60,"OK","Largo")</f>
        <v>OK</v>
      </c>
      <c r="J71" s="10" t="s">
        <v>1835</v>
      </c>
      <c r="K71" s="8" t="n">
        <f aca="false">LEN(J71)</f>
        <v>132</v>
      </c>
      <c r="L71" s="8" t="str">
        <f aca="false">IF(AND(K71&gt;=120,K71&lt;=155),"OK",IF(K71&lt;120,"Corta","Larga"))</f>
        <v>OK</v>
      </c>
      <c r="M71" s="9" t="s">
        <v>1539</v>
      </c>
    </row>
    <row r="72" customFormat="false" ht="23.85" hidden="false" customHeight="false" outlineLevel="0" collapsed="false">
      <c r="A72" s="8" t="s">
        <v>1836</v>
      </c>
      <c r="B72" s="9" t="s">
        <v>1837</v>
      </c>
      <c r="C72" s="8" t="n">
        <v>4</v>
      </c>
      <c r="D72" s="8" t="s">
        <v>1828</v>
      </c>
      <c r="E72" s="8" t="s">
        <v>1542</v>
      </c>
      <c r="F72" s="9" t="s">
        <v>1829</v>
      </c>
      <c r="G72" s="10" t="s">
        <v>1838</v>
      </c>
      <c r="H72" s="8" t="n">
        <f aca="false">LEN(G72)</f>
        <v>47</v>
      </c>
      <c r="I72" s="8" t="str">
        <f aca="false">IF(H72&lt;=60,"OK","Largo")</f>
        <v>OK</v>
      </c>
      <c r="J72" s="10" t="s">
        <v>1839</v>
      </c>
      <c r="K72" s="8" t="n">
        <f aca="false">LEN(J72)</f>
        <v>135</v>
      </c>
      <c r="L72" s="8" t="str">
        <f aca="false">IF(AND(K72&gt;=120,K72&lt;=155),"OK",IF(K72&lt;120,"Corta","Larga"))</f>
        <v>OK</v>
      </c>
      <c r="M72" s="9" t="s">
        <v>1539</v>
      </c>
    </row>
    <row r="73" customFormat="false" ht="23.85" hidden="false" customHeight="false" outlineLevel="0" collapsed="false">
      <c r="A73" s="8" t="s">
        <v>1840</v>
      </c>
      <c r="B73" s="9" t="s">
        <v>1841</v>
      </c>
      <c r="C73" s="8" t="n">
        <v>8</v>
      </c>
      <c r="D73" s="8" t="s">
        <v>1828</v>
      </c>
      <c r="E73" s="8" t="s">
        <v>1549</v>
      </c>
      <c r="F73" s="9" t="s">
        <v>1829</v>
      </c>
      <c r="G73" s="10" t="s">
        <v>1842</v>
      </c>
      <c r="H73" s="8" t="n">
        <f aca="false">LEN(G73)</f>
        <v>49</v>
      </c>
      <c r="I73" s="8" t="str">
        <f aca="false">IF(H73&lt;=60,"OK","Largo")</f>
        <v>OK</v>
      </c>
      <c r="J73" s="10" t="s">
        <v>1843</v>
      </c>
      <c r="K73" s="8" t="n">
        <f aca="false">LEN(J73)</f>
        <v>137</v>
      </c>
      <c r="L73" s="8" t="str">
        <f aca="false">IF(AND(K73&gt;=120,K73&lt;=155),"OK",IF(K73&lt;120,"Corta","Larga"))</f>
        <v>OK</v>
      </c>
      <c r="M73" s="9" t="s">
        <v>1539</v>
      </c>
    </row>
    <row r="74" customFormat="false" ht="23.85" hidden="false" customHeight="false" outlineLevel="0" collapsed="false">
      <c r="A74" s="8" t="s">
        <v>1844</v>
      </c>
      <c r="B74" s="9" t="s">
        <v>1845</v>
      </c>
      <c r="C74" s="8" t="n">
        <v>5</v>
      </c>
      <c r="D74" s="8" t="s">
        <v>1828</v>
      </c>
      <c r="E74" s="8" t="s">
        <v>1549</v>
      </c>
      <c r="F74" s="9" t="s">
        <v>1829</v>
      </c>
      <c r="G74" s="10" t="s">
        <v>1846</v>
      </c>
      <c r="H74" s="8" t="n">
        <f aca="false">LEN(G74)</f>
        <v>44</v>
      </c>
      <c r="I74" s="8" t="str">
        <f aca="false">IF(H74&lt;=60,"OK","Largo")</f>
        <v>OK</v>
      </c>
      <c r="J74" s="10" t="s">
        <v>1847</v>
      </c>
      <c r="K74" s="8" t="n">
        <f aca="false">LEN(J74)</f>
        <v>132</v>
      </c>
      <c r="L74" s="8" t="str">
        <f aca="false">IF(AND(K74&gt;=120,K74&lt;=155),"OK",IF(K74&lt;120,"Corta","Larga"))</f>
        <v>OK</v>
      </c>
      <c r="M74" s="9" t="s">
        <v>1539</v>
      </c>
    </row>
    <row r="75" customFormat="false" ht="23.85" hidden="false" customHeight="false" outlineLevel="0" collapsed="false">
      <c r="A75" s="8" t="s">
        <v>1848</v>
      </c>
      <c r="B75" s="9" t="s">
        <v>1849</v>
      </c>
      <c r="C75" s="8" t="n">
        <v>4</v>
      </c>
      <c r="D75" s="8" t="s">
        <v>1828</v>
      </c>
      <c r="E75" s="8" t="s">
        <v>1542</v>
      </c>
      <c r="F75" s="9" t="s">
        <v>1829</v>
      </c>
      <c r="G75" s="10" t="s">
        <v>1850</v>
      </c>
      <c r="H75" s="8" t="n">
        <f aca="false">LEN(G75)</f>
        <v>47</v>
      </c>
      <c r="I75" s="8" t="str">
        <f aca="false">IF(H75&lt;=60,"OK","Largo")</f>
        <v>OK</v>
      </c>
      <c r="J75" s="10" t="s">
        <v>1851</v>
      </c>
      <c r="K75" s="8" t="n">
        <f aca="false">LEN(J75)</f>
        <v>135</v>
      </c>
      <c r="L75" s="8" t="str">
        <f aca="false">IF(AND(K75&gt;=120,K75&lt;=155),"OK",IF(K75&lt;120,"Corta","Larga"))</f>
        <v>OK</v>
      </c>
      <c r="M75" s="9" t="s">
        <v>1539</v>
      </c>
    </row>
    <row r="76" customFormat="false" ht="23.85" hidden="false" customHeight="false" outlineLevel="0" collapsed="false">
      <c r="A76" s="8" t="s">
        <v>1852</v>
      </c>
      <c r="B76" s="9" t="s">
        <v>1853</v>
      </c>
      <c r="C76" s="8" t="n">
        <v>5</v>
      </c>
      <c r="D76" s="8" t="s">
        <v>1828</v>
      </c>
      <c r="E76" s="8" t="s">
        <v>1549</v>
      </c>
      <c r="F76" s="9" t="s">
        <v>1829</v>
      </c>
      <c r="G76" s="10" t="s">
        <v>1854</v>
      </c>
      <c r="H76" s="8" t="n">
        <f aca="false">LEN(G76)</f>
        <v>45</v>
      </c>
      <c r="I76" s="8" t="str">
        <f aca="false">IF(H76&lt;=60,"OK","Largo")</f>
        <v>OK</v>
      </c>
      <c r="J76" s="10" t="s">
        <v>1855</v>
      </c>
      <c r="K76" s="8" t="n">
        <f aca="false">LEN(J76)</f>
        <v>133</v>
      </c>
      <c r="L76" s="8" t="str">
        <f aca="false">IF(AND(K76&gt;=120,K76&lt;=155),"OK",IF(K76&lt;120,"Corta","Larga"))</f>
        <v>OK</v>
      </c>
      <c r="M76" s="9" t="s">
        <v>1539</v>
      </c>
    </row>
    <row r="77" customFormat="false" ht="23.85" hidden="false" customHeight="false" outlineLevel="0" collapsed="false">
      <c r="A77" s="8" t="s">
        <v>1856</v>
      </c>
      <c r="B77" s="9" t="s">
        <v>1857</v>
      </c>
      <c r="C77" s="8" t="n">
        <v>2</v>
      </c>
      <c r="D77" s="8" t="s">
        <v>1828</v>
      </c>
      <c r="E77" s="8" t="s">
        <v>1542</v>
      </c>
      <c r="F77" s="9" t="s">
        <v>1829</v>
      </c>
      <c r="G77" s="10" t="s">
        <v>1858</v>
      </c>
      <c r="H77" s="8" t="n">
        <f aca="false">LEN(G77)</f>
        <v>46</v>
      </c>
      <c r="I77" s="8" t="str">
        <f aca="false">IF(H77&lt;=60,"OK","Largo")</f>
        <v>OK</v>
      </c>
      <c r="J77" s="10" t="s">
        <v>1859</v>
      </c>
      <c r="K77" s="8" t="n">
        <f aca="false">LEN(J77)</f>
        <v>134</v>
      </c>
      <c r="L77" s="8" t="str">
        <f aca="false">IF(AND(K77&gt;=120,K77&lt;=155),"OK",IF(K77&lt;120,"Corta","Larga"))</f>
        <v>OK</v>
      </c>
      <c r="M77" s="9" t="s">
        <v>1539</v>
      </c>
    </row>
    <row r="78" customFormat="false" ht="23.85" hidden="false" customHeight="false" outlineLevel="0" collapsed="false">
      <c r="A78" s="8" t="s">
        <v>1860</v>
      </c>
      <c r="B78" s="9" t="s">
        <v>1861</v>
      </c>
      <c r="C78" s="8" t="n">
        <v>4</v>
      </c>
      <c r="D78" s="8" t="s">
        <v>1828</v>
      </c>
      <c r="E78" s="8" t="s">
        <v>1542</v>
      </c>
      <c r="F78" s="9" t="s">
        <v>1829</v>
      </c>
      <c r="G78" s="10" t="s">
        <v>1862</v>
      </c>
      <c r="H78" s="8" t="n">
        <f aca="false">LEN(G78)</f>
        <v>50</v>
      </c>
      <c r="I78" s="8" t="str">
        <f aca="false">IF(H78&lt;=60,"OK","Largo")</f>
        <v>OK</v>
      </c>
      <c r="J78" s="10" t="s">
        <v>1863</v>
      </c>
      <c r="K78" s="8" t="n">
        <f aca="false">LEN(J78)</f>
        <v>138</v>
      </c>
      <c r="L78" s="8" t="str">
        <f aca="false">IF(AND(K78&gt;=120,K78&lt;=155),"OK",IF(K78&lt;120,"Corta","Larga"))</f>
        <v>OK</v>
      </c>
      <c r="M78" s="9" t="s">
        <v>1539</v>
      </c>
    </row>
    <row r="79" customFormat="false" ht="23.85" hidden="false" customHeight="false" outlineLevel="0" collapsed="false">
      <c r="A79" s="8" t="s">
        <v>1864</v>
      </c>
      <c r="B79" s="9" t="s">
        <v>1865</v>
      </c>
      <c r="C79" s="8" t="n">
        <v>3</v>
      </c>
      <c r="D79" s="8" t="s">
        <v>1828</v>
      </c>
      <c r="E79" s="8" t="s">
        <v>1542</v>
      </c>
      <c r="F79" s="9" t="s">
        <v>1829</v>
      </c>
      <c r="G79" s="10" t="s">
        <v>1866</v>
      </c>
      <c r="H79" s="8" t="n">
        <f aca="false">LEN(G79)</f>
        <v>46</v>
      </c>
      <c r="I79" s="8" t="str">
        <f aca="false">IF(H79&lt;=60,"OK","Largo")</f>
        <v>OK</v>
      </c>
      <c r="J79" s="10" t="s">
        <v>1867</v>
      </c>
      <c r="K79" s="8" t="n">
        <f aca="false">LEN(J79)</f>
        <v>134</v>
      </c>
      <c r="L79" s="8" t="str">
        <f aca="false">IF(AND(K79&gt;=120,K79&lt;=155),"OK",IF(K79&lt;120,"Corta","Larga"))</f>
        <v>OK</v>
      </c>
      <c r="M79" s="9" t="s">
        <v>1539</v>
      </c>
    </row>
    <row r="80" customFormat="false" ht="23.85" hidden="false" customHeight="false" outlineLevel="0" collapsed="false">
      <c r="A80" s="8" t="s">
        <v>1868</v>
      </c>
      <c r="B80" s="9" t="s">
        <v>1869</v>
      </c>
      <c r="C80" s="8" t="n">
        <v>4</v>
      </c>
      <c r="D80" s="8" t="s">
        <v>1828</v>
      </c>
      <c r="E80" s="8" t="s">
        <v>1542</v>
      </c>
      <c r="F80" s="9" t="s">
        <v>1829</v>
      </c>
      <c r="G80" s="10" t="s">
        <v>1870</v>
      </c>
      <c r="H80" s="8" t="n">
        <f aca="false">LEN(G80)</f>
        <v>59</v>
      </c>
      <c r="I80" s="8" t="str">
        <f aca="false">IF(H80&lt;=60,"OK","Largo")</f>
        <v>OK</v>
      </c>
      <c r="J80" s="10" t="s">
        <v>1871</v>
      </c>
      <c r="K80" s="8" t="n">
        <f aca="false">LEN(J80)</f>
        <v>147</v>
      </c>
      <c r="L80" s="8" t="str">
        <f aca="false">IF(AND(K80&gt;=120,K80&lt;=155),"OK",IF(K80&lt;120,"Corta","Larga"))</f>
        <v>OK</v>
      </c>
      <c r="M80" s="9" t="s">
        <v>1539</v>
      </c>
    </row>
    <row r="81" customFormat="false" ht="23.85" hidden="false" customHeight="false" outlineLevel="0" collapsed="false">
      <c r="A81" s="8" t="s">
        <v>1872</v>
      </c>
      <c r="B81" s="9" t="s">
        <v>1873</v>
      </c>
      <c r="C81" s="8" t="n">
        <v>4</v>
      </c>
      <c r="D81" s="8" t="s">
        <v>1828</v>
      </c>
      <c r="E81" s="8" t="s">
        <v>1542</v>
      </c>
      <c r="F81" s="9" t="s">
        <v>1829</v>
      </c>
      <c r="G81" s="10" t="s">
        <v>1874</v>
      </c>
      <c r="H81" s="8" t="n">
        <f aca="false">LEN(G81)</f>
        <v>49</v>
      </c>
      <c r="I81" s="8" t="str">
        <f aca="false">IF(H81&lt;=60,"OK","Largo")</f>
        <v>OK</v>
      </c>
      <c r="J81" s="10" t="s">
        <v>1875</v>
      </c>
      <c r="K81" s="8" t="n">
        <f aca="false">LEN(J81)</f>
        <v>137</v>
      </c>
      <c r="L81" s="8" t="str">
        <f aca="false">IF(AND(K81&gt;=120,K81&lt;=155),"OK",IF(K81&lt;120,"Corta","Larga"))</f>
        <v>OK</v>
      </c>
      <c r="M81" s="9" t="s">
        <v>1539</v>
      </c>
    </row>
    <row r="82" customFormat="false" ht="23.85" hidden="false" customHeight="false" outlineLevel="0" collapsed="false">
      <c r="A82" s="8" t="s">
        <v>1876</v>
      </c>
      <c r="B82" s="9" t="s">
        <v>1877</v>
      </c>
      <c r="C82" s="8" t="n">
        <v>3</v>
      </c>
      <c r="D82" s="8" t="s">
        <v>1828</v>
      </c>
      <c r="E82" s="8" t="s">
        <v>1542</v>
      </c>
      <c r="F82" s="9" t="s">
        <v>1829</v>
      </c>
      <c r="G82" s="10" t="s">
        <v>1878</v>
      </c>
      <c r="H82" s="8" t="n">
        <f aca="false">LEN(G82)</f>
        <v>45</v>
      </c>
      <c r="I82" s="8" t="str">
        <f aca="false">IF(H82&lt;=60,"OK","Largo")</f>
        <v>OK</v>
      </c>
      <c r="J82" s="10" t="s">
        <v>1879</v>
      </c>
      <c r="K82" s="8" t="n">
        <f aca="false">LEN(J82)</f>
        <v>133</v>
      </c>
      <c r="L82" s="8" t="str">
        <f aca="false">IF(AND(K82&gt;=120,K82&lt;=155),"OK",IF(K82&lt;120,"Corta","Larga"))</f>
        <v>OK</v>
      </c>
      <c r="M82" s="9" t="s">
        <v>1539</v>
      </c>
    </row>
    <row r="83" customFormat="false" ht="23.85" hidden="false" customHeight="false" outlineLevel="0" collapsed="false">
      <c r="A83" s="8" t="s">
        <v>1880</v>
      </c>
      <c r="B83" s="9" t="s">
        <v>1881</v>
      </c>
      <c r="C83" s="8" t="n">
        <v>5</v>
      </c>
      <c r="D83" s="8" t="s">
        <v>1828</v>
      </c>
      <c r="E83" s="8" t="s">
        <v>1549</v>
      </c>
      <c r="F83" s="9" t="s">
        <v>1829</v>
      </c>
      <c r="G83" s="10" t="s">
        <v>1882</v>
      </c>
      <c r="H83" s="8" t="n">
        <f aca="false">LEN(G83)</f>
        <v>45</v>
      </c>
      <c r="I83" s="8" t="str">
        <f aca="false">IF(H83&lt;=60,"OK","Largo")</f>
        <v>OK</v>
      </c>
      <c r="J83" s="10" t="s">
        <v>1883</v>
      </c>
      <c r="K83" s="8" t="n">
        <f aca="false">LEN(J83)</f>
        <v>133</v>
      </c>
      <c r="L83" s="8" t="str">
        <f aca="false">IF(AND(K83&gt;=120,K83&lt;=155),"OK",IF(K83&lt;120,"Corta","Larga"))</f>
        <v>OK</v>
      </c>
      <c r="M83" s="9" t="s">
        <v>1539</v>
      </c>
    </row>
    <row r="84" customFormat="false" ht="23.85" hidden="false" customHeight="false" outlineLevel="0" collapsed="false">
      <c r="A84" s="8" t="s">
        <v>1884</v>
      </c>
      <c r="B84" s="9" t="s">
        <v>1885</v>
      </c>
      <c r="C84" s="8" t="n">
        <v>2</v>
      </c>
      <c r="D84" s="8" t="s">
        <v>1828</v>
      </c>
      <c r="E84" s="8" t="s">
        <v>1542</v>
      </c>
      <c r="F84" s="9" t="s">
        <v>1829</v>
      </c>
      <c r="G84" s="10" t="s">
        <v>1886</v>
      </c>
      <c r="H84" s="8" t="n">
        <f aca="false">LEN(G84)</f>
        <v>46</v>
      </c>
      <c r="I84" s="8" t="str">
        <f aca="false">IF(H84&lt;=60,"OK","Largo")</f>
        <v>OK</v>
      </c>
      <c r="J84" s="10" t="s">
        <v>1887</v>
      </c>
      <c r="K84" s="8" t="n">
        <f aca="false">LEN(J84)</f>
        <v>134</v>
      </c>
      <c r="L84" s="8" t="str">
        <f aca="false">IF(AND(K84&gt;=120,K84&lt;=155),"OK",IF(K84&lt;120,"Corta","Larga"))</f>
        <v>OK</v>
      </c>
      <c r="M84" s="9" t="s">
        <v>1539</v>
      </c>
    </row>
    <row r="85" customFormat="false" ht="23.85" hidden="false" customHeight="false" outlineLevel="0" collapsed="false">
      <c r="A85" s="8" t="s">
        <v>1888</v>
      </c>
      <c r="B85" s="9" t="s">
        <v>1889</v>
      </c>
      <c r="C85" s="8" t="n">
        <v>4</v>
      </c>
      <c r="D85" s="8" t="s">
        <v>1828</v>
      </c>
      <c r="E85" s="8" t="s">
        <v>1542</v>
      </c>
      <c r="F85" s="9" t="s">
        <v>1829</v>
      </c>
      <c r="G85" s="10" t="s">
        <v>1890</v>
      </c>
      <c r="H85" s="8" t="n">
        <f aca="false">LEN(G85)</f>
        <v>52</v>
      </c>
      <c r="I85" s="8" t="str">
        <f aca="false">IF(H85&lt;=60,"OK","Largo")</f>
        <v>OK</v>
      </c>
      <c r="J85" s="10" t="s">
        <v>1891</v>
      </c>
      <c r="K85" s="8" t="n">
        <f aca="false">LEN(J85)</f>
        <v>140</v>
      </c>
      <c r="L85" s="8" t="str">
        <f aca="false">IF(AND(K85&gt;=120,K85&lt;=155),"OK",IF(K85&lt;120,"Corta","Larga"))</f>
        <v>OK</v>
      </c>
      <c r="M85" s="9" t="s">
        <v>1539</v>
      </c>
    </row>
    <row r="86" customFormat="false" ht="23.85" hidden="false" customHeight="false" outlineLevel="0" collapsed="false">
      <c r="A86" s="8" t="s">
        <v>1892</v>
      </c>
      <c r="B86" s="9" t="s">
        <v>1893</v>
      </c>
      <c r="C86" s="8" t="n">
        <v>1</v>
      </c>
      <c r="D86" s="8" t="s">
        <v>1828</v>
      </c>
      <c r="E86" s="8" t="s">
        <v>1535</v>
      </c>
      <c r="F86" s="9" t="s">
        <v>1829</v>
      </c>
      <c r="G86" s="10" t="s">
        <v>1894</v>
      </c>
      <c r="H86" s="8" t="n">
        <f aca="false">LEN(G86)</f>
        <v>49</v>
      </c>
      <c r="I86" s="8" t="str">
        <f aca="false">IF(H86&lt;=60,"OK","Largo")</f>
        <v>OK</v>
      </c>
      <c r="J86" s="10" t="s">
        <v>1895</v>
      </c>
      <c r="K86" s="8" t="n">
        <f aca="false">LEN(J86)</f>
        <v>137</v>
      </c>
      <c r="L86" s="8" t="str">
        <f aca="false">IF(AND(K86&gt;=120,K86&lt;=155),"OK",IF(K86&lt;120,"Corta","Larga"))</f>
        <v>OK</v>
      </c>
      <c r="M86" s="9" t="s">
        <v>1539</v>
      </c>
    </row>
    <row r="87" customFormat="false" ht="23.85" hidden="false" customHeight="false" outlineLevel="0" collapsed="false">
      <c r="A87" s="8" t="s">
        <v>1896</v>
      </c>
      <c r="B87" s="9" t="s">
        <v>1897</v>
      </c>
      <c r="C87" s="8" t="n">
        <v>3</v>
      </c>
      <c r="D87" s="8" t="s">
        <v>1828</v>
      </c>
      <c r="E87" s="8" t="s">
        <v>1542</v>
      </c>
      <c r="F87" s="9" t="s">
        <v>1829</v>
      </c>
      <c r="G87" s="10" t="s">
        <v>1898</v>
      </c>
      <c r="H87" s="8" t="n">
        <f aca="false">LEN(G87)</f>
        <v>46</v>
      </c>
      <c r="I87" s="8" t="str">
        <f aca="false">IF(H87&lt;=60,"OK","Largo")</f>
        <v>OK</v>
      </c>
      <c r="J87" s="10" t="s">
        <v>1899</v>
      </c>
      <c r="K87" s="8" t="n">
        <f aca="false">LEN(J87)</f>
        <v>134</v>
      </c>
      <c r="L87" s="8" t="str">
        <f aca="false">IF(AND(K87&gt;=120,K87&lt;=155),"OK",IF(K87&lt;120,"Corta","Larga"))</f>
        <v>OK</v>
      </c>
      <c r="M87" s="9" t="s">
        <v>1539</v>
      </c>
    </row>
    <row r="88" customFormat="false" ht="23.85" hidden="false" customHeight="false" outlineLevel="0" collapsed="false">
      <c r="A88" s="8" t="s">
        <v>1900</v>
      </c>
      <c r="B88" s="9" t="s">
        <v>1901</v>
      </c>
      <c r="C88" s="8" t="n">
        <v>5</v>
      </c>
      <c r="D88" s="8" t="s">
        <v>1828</v>
      </c>
      <c r="E88" s="8" t="s">
        <v>1549</v>
      </c>
      <c r="F88" s="9" t="s">
        <v>1829</v>
      </c>
      <c r="G88" s="10" t="s">
        <v>1902</v>
      </c>
      <c r="H88" s="8" t="n">
        <f aca="false">LEN(G88)</f>
        <v>51</v>
      </c>
      <c r="I88" s="8" t="str">
        <f aca="false">IF(H88&lt;=60,"OK","Largo")</f>
        <v>OK</v>
      </c>
      <c r="J88" s="10" t="s">
        <v>1903</v>
      </c>
      <c r="K88" s="8" t="n">
        <f aca="false">LEN(J88)</f>
        <v>139</v>
      </c>
      <c r="L88" s="8" t="str">
        <f aca="false">IF(AND(K88&gt;=120,K88&lt;=155),"OK",IF(K88&lt;120,"Corta","Larga"))</f>
        <v>OK</v>
      </c>
      <c r="M88" s="9" t="s">
        <v>1539</v>
      </c>
    </row>
    <row r="89" customFormat="false" ht="23.85" hidden="false" customHeight="false" outlineLevel="0" collapsed="false">
      <c r="A89" s="8" t="s">
        <v>1904</v>
      </c>
      <c r="B89" s="9" t="s">
        <v>1905</v>
      </c>
      <c r="C89" s="8" t="n">
        <v>2</v>
      </c>
      <c r="D89" s="8" t="s">
        <v>1828</v>
      </c>
      <c r="E89" s="8" t="s">
        <v>1542</v>
      </c>
      <c r="F89" s="9" t="s">
        <v>1829</v>
      </c>
      <c r="G89" s="10" t="s">
        <v>1906</v>
      </c>
      <c r="H89" s="8" t="n">
        <f aca="false">LEN(G89)</f>
        <v>49</v>
      </c>
      <c r="I89" s="8" t="str">
        <f aca="false">IF(H89&lt;=60,"OK","Largo")</f>
        <v>OK</v>
      </c>
      <c r="J89" s="10" t="s">
        <v>1907</v>
      </c>
      <c r="K89" s="8" t="n">
        <f aca="false">LEN(J89)</f>
        <v>137</v>
      </c>
      <c r="L89" s="8" t="str">
        <f aca="false">IF(AND(K89&gt;=120,K89&lt;=155),"OK",IF(K89&lt;120,"Corta","Larga"))</f>
        <v>OK</v>
      </c>
      <c r="M89" s="9" t="s">
        <v>1539</v>
      </c>
    </row>
    <row r="90" customFormat="false" ht="23.85" hidden="false" customHeight="false" outlineLevel="0" collapsed="false">
      <c r="A90" s="8" t="s">
        <v>1908</v>
      </c>
      <c r="B90" s="9" t="s">
        <v>1909</v>
      </c>
      <c r="C90" s="8" t="n">
        <v>18</v>
      </c>
      <c r="D90" s="8" t="s">
        <v>1828</v>
      </c>
      <c r="E90" s="8" t="s">
        <v>1549</v>
      </c>
      <c r="F90" s="9" t="s">
        <v>1829</v>
      </c>
      <c r="G90" s="10" t="s">
        <v>1910</v>
      </c>
      <c r="H90" s="8" t="n">
        <f aca="false">LEN(G90)</f>
        <v>51</v>
      </c>
      <c r="I90" s="8" t="str">
        <f aca="false">IF(H90&lt;=60,"OK","Largo")</f>
        <v>OK</v>
      </c>
      <c r="J90" s="10" t="s">
        <v>1911</v>
      </c>
      <c r="K90" s="8" t="n">
        <f aca="false">LEN(J90)</f>
        <v>139</v>
      </c>
      <c r="L90" s="8" t="str">
        <f aca="false">IF(AND(K90&gt;=120,K90&lt;=155),"OK",IF(K90&lt;120,"Corta","Larga"))</f>
        <v>OK</v>
      </c>
      <c r="M90" s="9" t="s">
        <v>1539</v>
      </c>
    </row>
    <row r="91" customFormat="false" ht="23.85" hidden="false" customHeight="false" outlineLevel="0" collapsed="false">
      <c r="A91" s="8" t="s">
        <v>1912</v>
      </c>
      <c r="B91" s="9" t="s">
        <v>1913</v>
      </c>
      <c r="C91" s="8" t="n">
        <v>3</v>
      </c>
      <c r="D91" s="8" t="s">
        <v>1828</v>
      </c>
      <c r="E91" s="8" t="s">
        <v>1542</v>
      </c>
      <c r="F91" s="9" t="s">
        <v>1829</v>
      </c>
      <c r="G91" s="10" t="s">
        <v>1914</v>
      </c>
      <c r="H91" s="8" t="n">
        <f aca="false">LEN(G91)</f>
        <v>49</v>
      </c>
      <c r="I91" s="8" t="str">
        <f aca="false">IF(H91&lt;=60,"OK","Largo")</f>
        <v>OK</v>
      </c>
      <c r="J91" s="10" t="s">
        <v>1915</v>
      </c>
      <c r="K91" s="8" t="n">
        <f aca="false">LEN(J91)</f>
        <v>137</v>
      </c>
      <c r="L91" s="8" t="str">
        <f aca="false">IF(AND(K91&gt;=120,K91&lt;=155),"OK",IF(K91&lt;120,"Corta","Larga"))</f>
        <v>OK</v>
      </c>
      <c r="M91" s="9" t="s">
        <v>1539</v>
      </c>
    </row>
    <row r="92" customFormat="false" ht="23.85" hidden="false" customHeight="false" outlineLevel="0" collapsed="false">
      <c r="A92" s="8" t="s">
        <v>1916</v>
      </c>
      <c r="B92" s="9" t="s">
        <v>1917</v>
      </c>
      <c r="C92" s="8" t="n">
        <v>2</v>
      </c>
      <c r="D92" s="8" t="s">
        <v>1828</v>
      </c>
      <c r="E92" s="8" t="s">
        <v>1542</v>
      </c>
      <c r="F92" s="9" t="s">
        <v>1829</v>
      </c>
      <c r="G92" s="10" t="s">
        <v>1918</v>
      </c>
      <c r="H92" s="8" t="n">
        <f aca="false">LEN(G92)</f>
        <v>46</v>
      </c>
      <c r="I92" s="8" t="str">
        <f aca="false">IF(H92&lt;=60,"OK","Largo")</f>
        <v>OK</v>
      </c>
      <c r="J92" s="10" t="s">
        <v>1919</v>
      </c>
      <c r="K92" s="8" t="n">
        <f aca="false">LEN(J92)</f>
        <v>134</v>
      </c>
      <c r="L92" s="8" t="str">
        <f aca="false">IF(AND(K92&gt;=120,K92&lt;=155),"OK",IF(K92&lt;120,"Corta","Larga"))</f>
        <v>OK</v>
      </c>
      <c r="M92" s="9" t="s">
        <v>1539</v>
      </c>
    </row>
    <row r="93" customFormat="false" ht="23.85" hidden="false" customHeight="false" outlineLevel="0" collapsed="false">
      <c r="A93" s="8" t="s">
        <v>1920</v>
      </c>
      <c r="B93" s="9" t="s">
        <v>1921</v>
      </c>
      <c r="C93" s="8" t="n">
        <v>3</v>
      </c>
      <c r="D93" s="8" t="s">
        <v>1922</v>
      </c>
      <c r="E93" s="8" t="s">
        <v>1542</v>
      </c>
      <c r="F93" s="9" t="s">
        <v>1829</v>
      </c>
      <c r="G93" s="10" t="s">
        <v>1923</v>
      </c>
      <c r="H93" s="8" t="n">
        <f aca="false">LEN(G93)</f>
        <v>50</v>
      </c>
      <c r="I93" s="8" t="str">
        <f aca="false">IF(H93&lt;=60,"OK","Largo")</f>
        <v>OK</v>
      </c>
      <c r="J93" s="10" t="s">
        <v>1924</v>
      </c>
      <c r="K93" s="8" t="n">
        <f aca="false">LEN(J93)</f>
        <v>141</v>
      </c>
      <c r="L93" s="8" t="str">
        <f aca="false">IF(AND(K93&gt;=120,K93&lt;=155),"OK",IF(K93&lt;120,"Corta","Larga"))</f>
        <v>OK</v>
      </c>
      <c r="M93" s="9" t="s">
        <v>1539</v>
      </c>
    </row>
    <row r="94" customFormat="false" ht="23.85" hidden="false" customHeight="false" outlineLevel="0" collapsed="false">
      <c r="A94" s="8" t="s">
        <v>1925</v>
      </c>
      <c r="B94" s="9" t="s">
        <v>1926</v>
      </c>
      <c r="C94" s="8" t="n">
        <v>0</v>
      </c>
      <c r="D94" s="8" t="s">
        <v>1922</v>
      </c>
      <c r="E94" s="8" t="s">
        <v>1535</v>
      </c>
      <c r="F94" s="9" t="s">
        <v>1608</v>
      </c>
      <c r="G94" s="10" t="s">
        <v>1927</v>
      </c>
      <c r="H94" s="8" t="n">
        <f aca="false">LEN(G94)</f>
        <v>52</v>
      </c>
      <c r="I94" s="8" t="str">
        <f aca="false">IF(H94&lt;=60,"OK","Largo")</f>
        <v>OK</v>
      </c>
      <c r="J94" s="10" t="s">
        <v>1928</v>
      </c>
      <c r="K94" s="8" t="n">
        <f aca="false">LEN(J94)</f>
        <v>143</v>
      </c>
      <c r="L94" s="8" t="str">
        <f aca="false">IF(AND(K94&gt;=120,K94&lt;=155),"OK",IF(K94&lt;120,"Corta","Larga"))</f>
        <v>OK</v>
      </c>
      <c r="M94" s="9" t="s">
        <v>1539</v>
      </c>
    </row>
    <row r="95" customFormat="false" ht="23.85" hidden="false" customHeight="false" outlineLevel="0" collapsed="false">
      <c r="A95" s="8" t="s">
        <v>1929</v>
      </c>
      <c r="B95" s="9" t="s">
        <v>1930</v>
      </c>
      <c r="C95" s="8" t="n">
        <v>4</v>
      </c>
      <c r="D95" s="8" t="s">
        <v>1922</v>
      </c>
      <c r="E95" s="8" t="s">
        <v>1542</v>
      </c>
      <c r="F95" s="9" t="s">
        <v>1829</v>
      </c>
      <c r="G95" s="10" t="s">
        <v>1931</v>
      </c>
      <c r="H95" s="8" t="n">
        <f aca="false">LEN(G95)</f>
        <v>50</v>
      </c>
      <c r="I95" s="8" t="str">
        <f aca="false">IF(H95&lt;=60,"OK","Largo")</f>
        <v>OK</v>
      </c>
      <c r="J95" s="10" t="s">
        <v>1932</v>
      </c>
      <c r="K95" s="8" t="n">
        <f aca="false">LEN(J95)</f>
        <v>141</v>
      </c>
      <c r="L95" s="8" t="str">
        <f aca="false">IF(AND(K95&gt;=120,K95&lt;=155),"OK",IF(K95&lt;120,"Corta","Larga"))</f>
        <v>OK</v>
      </c>
      <c r="M95" s="9" t="s">
        <v>1539</v>
      </c>
    </row>
    <row r="96" customFormat="false" ht="23.85" hidden="false" customHeight="false" outlineLevel="0" collapsed="false">
      <c r="A96" s="8" t="s">
        <v>1933</v>
      </c>
      <c r="B96" s="9" t="s">
        <v>1934</v>
      </c>
      <c r="C96" s="8" t="n">
        <v>7</v>
      </c>
      <c r="D96" s="8" t="s">
        <v>1922</v>
      </c>
      <c r="E96" s="8" t="s">
        <v>1549</v>
      </c>
      <c r="F96" s="9" t="s">
        <v>1829</v>
      </c>
      <c r="G96" s="10" t="s">
        <v>1935</v>
      </c>
      <c r="H96" s="8" t="n">
        <f aca="false">LEN(G96)</f>
        <v>53</v>
      </c>
      <c r="I96" s="8" t="str">
        <f aca="false">IF(H96&lt;=60,"OK","Largo")</f>
        <v>OK</v>
      </c>
      <c r="J96" s="10" t="s">
        <v>1936</v>
      </c>
      <c r="K96" s="8" t="n">
        <f aca="false">LEN(J96)</f>
        <v>144</v>
      </c>
      <c r="L96" s="8" t="str">
        <f aca="false">IF(AND(K96&gt;=120,K96&lt;=155),"OK",IF(K96&lt;120,"Corta","Larga"))</f>
        <v>OK</v>
      </c>
      <c r="M96" s="9" t="s">
        <v>1539</v>
      </c>
    </row>
    <row r="97" customFormat="false" ht="23.85" hidden="false" customHeight="false" outlineLevel="0" collapsed="false">
      <c r="A97" s="8" t="s">
        <v>1937</v>
      </c>
      <c r="B97" s="9" t="s">
        <v>1938</v>
      </c>
      <c r="C97" s="8" t="n">
        <v>12</v>
      </c>
      <c r="D97" s="8" t="s">
        <v>1922</v>
      </c>
      <c r="E97" s="8" t="s">
        <v>1549</v>
      </c>
      <c r="F97" s="9" t="s">
        <v>1829</v>
      </c>
      <c r="G97" s="10" t="s">
        <v>1939</v>
      </c>
      <c r="H97" s="8" t="n">
        <f aca="false">LEN(G97)</f>
        <v>51</v>
      </c>
      <c r="I97" s="8" t="str">
        <f aca="false">IF(H97&lt;=60,"OK","Largo")</f>
        <v>OK</v>
      </c>
      <c r="J97" s="10" t="s">
        <v>1940</v>
      </c>
      <c r="K97" s="8" t="n">
        <f aca="false">LEN(J97)</f>
        <v>142</v>
      </c>
      <c r="L97" s="8" t="str">
        <f aca="false">IF(AND(K97&gt;=120,K97&lt;=155),"OK",IF(K97&lt;120,"Corta","Larga"))</f>
        <v>OK</v>
      </c>
      <c r="M97" s="9" t="s">
        <v>1539</v>
      </c>
    </row>
    <row r="98" customFormat="false" ht="23.85" hidden="false" customHeight="false" outlineLevel="0" collapsed="false">
      <c r="A98" s="8" t="s">
        <v>1941</v>
      </c>
      <c r="B98" s="9" t="s">
        <v>1942</v>
      </c>
      <c r="C98" s="8" t="n">
        <v>9</v>
      </c>
      <c r="D98" s="8" t="s">
        <v>1922</v>
      </c>
      <c r="E98" s="8" t="s">
        <v>1549</v>
      </c>
      <c r="F98" s="9" t="s">
        <v>1829</v>
      </c>
      <c r="G98" s="10" t="s">
        <v>1943</v>
      </c>
      <c r="H98" s="8" t="n">
        <f aca="false">LEN(G98)</f>
        <v>53</v>
      </c>
      <c r="I98" s="8" t="str">
        <f aca="false">IF(H98&lt;=60,"OK","Largo")</f>
        <v>OK</v>
      </c>
      <c r="J98" s="10" t="s">
        <v>1944</v>
      </c>
      <c r="K98" s="8" t="n">
        <f aca="false">LEN(J98)</f>
        <v>144</v>
      </c>
      <c r="L98" s="8" t="str">
        <f aca="false">IF(AND(K98&gt;=120,K98&lt;=155),"OK",IF(K98&lt;120,"Corta","Larga"))</f>
        <v>OK</v>
      </c>
      <c r="M98" s="9" t="s">
        <v>1539</v>
      </c>
    </row>
    <row r="99" customFormat="false" ht="23.85" hidden="false" customHeight="false" outlineLevel="0" collapsed="false">
      <c r="A99" s="8" t="s">
        <v>1945</v>
      </c>
      <c r="B99" s="9" t="s">
        <v>1946</v>
      </c>
      <c r="C99" s="8" t="n">
        <v>11</v>
      </c>
      <c r="D99" s="8" t="s">
        <v>1922</v>
      </c>
      <c r="E99" s="8" t="s">
        <v>1549</v>
      </c>
      <c r="F99" s="9" t="s">
        <v>1829</v>
      </c>
      <c r="G99" s="10" t="s">
        <v>1947</v>
      </c>
      <c r="H99" s="8" t="n">
        <f aca="false">LEN(G99)</f>
        <v>55</v>
      </c>
      <c r="I99" s="8" t="str">
        <f aca="false">IF(H99&lt;=60,"OK","Largo")</f>
        <v>OK</v>
      </c>
      <c r="J99" s="10" t="s">
        <v>1948</v>
      </c>
      <c r="K99" s="8" t="n">
        <f aca="false">LEN(J99)</f>
        <v>146</v>
      </c>
      <c r="L99" s="8" t="str">
        <f aca="false">IF(AND(K99&gt;=120,K99&lt;=155),"OK",IF(K99&lt;120,"Corta","Larga"))</f>
        <v>OK</v>
      </c>
      <c r="M99" s="9" t="s">
        <v>1539</v>
      </c>
    </row>
    <row r="100" customFormat="false" ht="23.85" hidden="false" customHeight="false" outlineLevel="0" collapsed="false">
      <c r="A100" s="8" t="s">
        <v>1949</v>
      </c>
      <c r="B100" s="9" t="s">
        <v>1950</v>
      </c>
      <c r="C100" s="8" t="n">
        <v>13</v>
      </c>
      <c r="D100" s="8" t="s">
        <v>1922</v>
      </c>
      <c r="E100" s="8" t="s">
        <v>1549</v>
      </c>
      <c r="F100" s="9" t="s">
        <v>1829</v>
      </c>
      <c r="G100" s="10" t="s">
        <v>1951</v>
      </c>
      <c r="H100" s="8" t="n">
        <f aca="false">LEN(G100)</f>
        <v>55</v>
      </c>
      <c r="I100" s="8" t="str">
        <f aca="false">IF(H100&lt;=60,"OK","Largo")</f>
        <v>OK</v>
      </c>
      <c r="J100" s="10" t="s">
        <v>1952</v>
      </c>
      <c r="K100" s="8" t="n">
        <f aca="false">LEN(J100)</f>
        <v>146</v>
      </c>
      <c r="L100" s="8" t="str">
        <f aca="false">IF(AND(K100&gt;=120,K100&lt;=155),"OK",IF(K100&lt;120,"Corta","Larga"))</f>
        <v>OK</v>
      </c>
      <c r="M100" s="9" t="s">
        <v>1539</v>
      </c>
    </row>
    <row r="101" customFormat="false" ht="23.85" hidden="false" customHeight="false" outlineLevel="0" collapsed="false">
      <c r="A101" s="8" t="s">
        <v>1953</v>
      </c>
      <c r="B101" s="9" t="s">
        <v>1954</v>
      </c>
      <c r="C101" s="8" t="n">
        <v>7</v>
      </c>
      <c r="D101" s="8" t="s">
        <v>1922</v>
      </c>
      <c r="E101" s="8" t="s">
        <v>1549</v>
      </c>
      <c r="F101" s="9" t="s">
        <v>1829</v>
      </c>
      <c r="G101" s="10" t="s">
        <v>1955</v>
      </c>
      <c r="H101" s="8" t="n">
        <f aca="false">LEN(G101)</f>
        <v>51</v>
      </c>
      <c r="I101" s="8" t="str">
        <f aca="false">IF(H101&lt;=60,"OK","Largo")</f>
        <v>OK</v>
      </c>
      <c r="J101" s="10" t="s">
        <v>1956</v>
      </c>
      <c r="K101" s="8" t="n">
        <f aca="false">LEN(J101)</f>
        <v>142</v>
      </c>
      <c r="L101" s="8" t="str">
        <f aca="false">IF(AND(K101&gt;=120,K101&lt;=155),"OK",IF(K101&lt;120,"Corta","Larga"))</f>
        <v>OK</v>
      </c>
      <c r="M101" s="9" t="s">
        <v>1539</v>
      </c>
    </row>
    <row r="102" customFormat="false" ht="23.85" hidden="false" customHeight="false" outlineLevel="0" collapsed="false">
      <c r="A102" s="8" t="s">
        <v>1957</v>
      </c>
      <c r="B102" s="9" t="s">
        <v>1958</v>
      </c>
      <c r="C102" s="8" t="n">
        <v>3</v>
      </c>
      <c r="D102" s="8" t="s">
        <v>1922</v>
      </c>
      <c r="E102" s="8" t="s">
        <v>1542</v>
      </c>
      <c r="F102" s="9" t="s">
        <v>1829</v>
      </c>
      <c r="G102" s="10" t="s">
        <v>1959</v>
      </c>
      <c r="H102" s="8" t="n">
        <f aca="false">LEN(G102)</f>
        <v>51</v>
      </c>
      <c r="I102" s="8" t="str">
        <f aca="false">IF(H102&lt;=60,"OK","Largo")</f>
        <v>OK</v>
      </c>
      <c r="J102" s="10" t="s">
        <v>1960</v>
      </c>
      <c r="K102" s="8" t="n">
        <f aca="false">LEN(J102)</f>
        <v>142</v>
      </c>
      <c r="L102" s="8" t="str">
        <f aca="false">IF(AND(K102&gt;=120,K102&lt;=155),"OK",IF(K102&lt;120,"Corta","Larga"))</f>
        <v>OK</v>
      </c>
      <c r="M102" s="9" t="s">
        <v>1539</v>
      </c>
    </row>
    <row r="103" customFormat="false" ht="23.85" hidden="false" customHeight="false" outlineLevel="0" collapsed="false">
      <c r="A103" s="8" t="s">
        <v>1961</v>
      </c>
      <c r="B103" s="9" t="s">
        <v>1962</v>
      </c>
      <c r="C103" s="8" t="n">
        <v>3</v>
      </c>
      <c r="D103" s="8" t="s">
        <v>1922</v>
      </c>
      <c r="E103" s="8" t="s">
        <v>1542</v>
      </c>
      <c r="F103" s="9" t="s">
        <v>1829</v>
      </c>
      <c r="G103" s="10" t="s">
        <v>1963</v>
      </c>
      <c r="H103" s="8" t="n">
        <f aca="false">LEN(G103)</f>
        <v>54</v>
      </c>
      <c r="I103" s="8" t="str">
        <f aca="false">IF(H103&lt;=60,"OK","Largo")</f>
        <v>OK</v>
      </c>
      <c r="J103" s="10" t="s">
        <v>1964</v>
      </c>
      <c r="K103" s="8" t="n">
        <f aca="false">LEN(J103)</f>
        <v>145</v>
      </c>
      <c r="L103" s="8" t="str">
        <f aca="false">IF(AND(K103&gt;=120,K103&lt;=155),"OK",IF(K103&lt;120,"Corta","Larga"))</f>
        <v>OK</v>
      </c>
      <c r="M103" s="9" t="s">
        <v>1539</v>
      </c>
    </row>
    <row r="104" customFormat="false" ht="23.85" hidden="false" customHeight="false" outlineLevel="0" collapsed="false">
      <c r="A104" s="8" t="s">
        <v>1965</v>
      </c>
      <c r="B104" s="9" t="s">
        <v>1966</v>
      </c>
      <c r="C104" s="8" t="n">
        <v>11</v>
      </c>
      <c r="D104" s="8" t="s">
        <v>1922</v>
      </c>
      <c r="E104" s="8" t="s">
        <v>1549</v>
      </c>
      <c r="F104" s="9" t="s">
        <v>1829</v>
      </c>
      <c r="G104" s="10" t="s">
        <v>1967</v>
      </c>
      <c r="H104" s="8" t="n">
        <f aca="false">LEN(G104)</f>
        <v>51</v>
      </c>
      <c r="I104" s="8" t="str">
        <f aca="false">IF(H104&lt;=60,"OK","Largo")</f>
        <v>OK</v>
      </c>
      <c r="J104" s="10" t="s">
        <v>1968</v>
      </c>
      <c r="K104" s="8" t="n">
        <f aca="false">LEN(J104)</f>
        <v>142</v>
      </c>
      <c r="L104" s="8" t="str">
        <f aca="false">IF(AND(K104&gt;=120,K104&lt;=155),"OK",IF(K104&lt;120,"Corta","Larga"))</f>
        <v>OK</v>
      </c>
      <c r="M104" s="9" t="s">
        <v>1539</v>
      </c>
    </row>
    <row r="105" customFormat="false" ht="23.85" hidden="false" customHeight="false" outlineLevel="0" collapsed="false">
      <c r="A105" s="8" t="s">
        <v>1969</v>
      </c>
      <c r="B105" s="9" t="s">
        <v>1970</v>
      </c>
      <c r="C105" s="8" t="n">
        <v>9</v>
      </c>
      <c r="D105" s="8" t="s">
        <v>1922</v>
      </c>
      <c r="E105" s="8" t="s">
        <v>1549</v>
      </c>
      <c r="F105" s="9" t="s">
        <v>1829</v>
      </c>
      <c r="G105" s="10" t="s">
        <v>1971</v>
      </c>
      <c r="H105" s="8" t="n">
        <f aca="false">LEN(G105)</f>
        <v>51</v>
      </c>
      <c r="I105" s="8" t="str">
        <f aca="false">IF(H105&lt;=60,"OK","Largo")</f>
        <v>OK</v>
      </c>
      <c r="J105" s="10" t="s">
        <v>1972</v>
      </c>
      <c r="K105" s="8" t="n">
        <f aca="false">LEN(J105)</f>
        <v>142</v>
      </c>
      <c r="L105" s="8" t="str">
        <f aca="false">IF(AND(K105&gt;=120,K105&lt;=155),"OK",IF(K105&lt;120,"Corta","Larga"))</f>
        <v>OK</v>
      </c>
      <c r="M105" s="9" t="s">
        <v>1539</v>
      </c>
    </row>
    <row r="106" customFormat="false" ht="23.85" hidden="false" customHeight="false" outlineLevel="0" collapsed="false">
      <c r="A106" s="8" t="s">
        <v>1973</v>
      </c>
      <c r="B106" s="9" t="s">
        <v>1974</v>
      </c>
      <c r="C106" s="8" t="n">
        <v>12</v>
      </c>
      <c r="D106" s="8" t="s">
        <v>1922</v>
      </c>
      <c r="E106" s="8" t="s">
        <v>1549</v>
      </c>
      <c r="F106" s="9" t="s">
        <v>1829</v>
      </c>
      <c r="G106" s="10" t="s">
        <v>1975</v>
      </c>
      <c r="H106" s="8" t="n">
        <f aca="false">LEN(G106)</f>
        <v>55</v>
      </c>
      <c r="I106" s="8" t="str">
        <f aca="false">IF(H106&lt;=60,"OK","Largo")</f>
        <v>OK</v>
      </c>
      <c r="J106" s="10" t="s">
        <v>1976</v>
      </c>
      <c r="K106" s="8" t="n">
        <f aca="false">LEN(J106)</f>
        <v>146</v>
      </c>
      <c r="L106" s="8" t="str">
        <f aca="false">IF(AND(K106&gt;=120,K106&lt;=155),"OK",IF(K106&lt;120,"Corta","Larga"))</f>
        <v>OK</v>
      </c>
      <c r="M106" s="9" t="s">
        <v>1539</v>
      </c>
    </row>
    <row r="107" customFormat="false" ht="23.85" hidden="false" customHeight="false" outlineLevel="0" collapsed="false">
      <c r="A107" s="8" t="s">
        <v>1977</v>
      </c>
      <c r="B107" s="9" t="s">
        <v>1978</v>
      </c>
      <c r="C107" s="8" t="n">
        <v>4</v>
      </c>
      <c r="D107" s="8" t="s">
        <v>1922</v>
      </c>
      <c r="E107" s="8" t="s">
        <v>1542</v>
      </c>
      <c r="F107" s="9" t="s">
        <v>1829</v>
      </c>
      <c r="G107" s="10" t="s">
        <v>1979</v>
      </c>
      <c r="H107" s="8" t="n">
        <f aca="false">LEN(G107)</f>
        <v>53</v>
      </c>
      <c r="I107" s="8" t="str">
        <f aca="false">IF(H107&lt;=60,"OK","Largo")</f>
        <v>OK</v>
      </c>
      <c r="J107" s="10" t="s">
        <v>1980</v>
      </c>
      <c r="K107" s="8" t="n">
        <f aca="false">LEN(J107)</f>
        <v>144</v>
      </c>
      <c r="L107" s="8" t="str">
        <f aca="false">IF(AND(K107&gt;=120,K107&lt;=155),"OK",IF(K107&lt;120,"Corta","Larga"))</f>
        <v>OK</v>
      </c>
      <c r="M107" s="9" t="s">
        <v>1539</v>
      </c>
    </row>
    <row r="108" customFormat="false" ht="35.05" hidden="false" customHeight="false" outlineLevel="0" collapsed="false">
      <c r="A108" s="8" t="s">
        <v>1981</v>
      </c>
      <c r="B108" s="9" t="s">
        <v>1982</v>
      </c>
      <c r="C108" s="8" t="n">
        <v>9</v>
      </c>
      <c r="D108" s="8" t="s">
        <v>1922</v>
      </c>
      <c r="E108" s="8" t="s">
        <v>1549</v>
      </c>
      <c r="F108" s="9" t="s">
        <v>1829</v>
      </c>
      <c r="G108" s="10" t="s">
        <v>1983</v>
      </c>
      <c r="H108" s="8" t="n">
        <f aca="false">LEN(G108)</f>
        <v>56</v>
      </c>
      <c r="I108" s="8" t="str">
        <f aca="false">IF(H108&lt;=60,"OK","Largo")</f>
        <v>OK</v>
      </c>
      <c r="J108" s="10" t="s">
        <v>1984</v>
      </c>
      <c r="K108" s="8" t="n">
        <f aca="false">LEN(J108)</f>
        <v>147</v>
      </c>
      <c r="L108" s="8" t="str">
        <f aca="false">IF(AND(K108&gt;=120,K108&lt;=155),"OK",IF(K108&lt;120,"Corta","Larga"))</f>
        <v>OK</v>
      </c>
      <c r="M108" s="9" t="s">
        <v>1539</v>
      </c>
    </row>
    <row r="109" customFormat="false" ht="23.85" hidden="false" customHeight="false" outlineLevel="0" collapsed="false">
      <c r="A109" s="8" t="s">
        <v>1985</v>
      </c>
      <c r="B109" s="9" t="s">
        <v>1986</v>
      </c>
      <c r="C109" s="8" t="n">
        <v>6</v>
      </c>
      <c r="D109" s="8" t="s">
        <v>1922</v>
      </c>
      <c r="E109" s="8" t="s">
        <v>1549</v>
      </c>
      <c r="F109" s="9" t="s">
        <v>1829</v>
      </c>
      <c r="G109" s="10" t="s">
        <v>1987</v>
      </c>
      <c r="H109" s="8" t="n">
        <f aca="false">LEN(G109)</f>
        <v>53</v>
      </c>
      <c r="I109" s="8" t="str">
        <f aca="false">IF(H109&lt;=60,"OK","Largo")</f>
        <v>OK</v>
      </c>
      <c r="J109" s="10" t="s">
        <v>1988</v>
      </c>
      <c r="K109" s="8" t="n">
        <f aca="false">LEN(J109)</f>
        <v>144</v>
      </c>
      <c r="L109" s="8" t="str">
        <f aca="false">IF(AND(K109&gt;=120,K109&lt;=155),"OK",IF(K109&lt;120,"Corta","Larga"))</f>
        <v>OK</v>
      </c>
      <c r="M109" s="9" t="s">
        <v>1539</v>
      </c>
    </row>
    <row r="110" customFormat="false" ht="23.85" hidden="false" customHeight="false" outlineLevel="0" collapsed="false">
      <c r="A110" s="8" t="s">
        <v>1989</v>
      </c>
      <c r="B110" s="9" t="s">
        <v>1990</v>
      </c>
      <c r="C110" s="8" t="n">
        <v>1</v>
      </c>
      <c r="D110" s="8" t="s">
        <v>1991</v>
      </c>
      <c r="E110" s="8" t="s">
        <v>1535</v>
      </c>
      <c r="F110" s="9" t="s">
        <v>1992</v>
      </c>
      <c r="G110" s="10" t="s">
        <v>1993</v>
      </c>
      <c r="H110" s="8" t="n">
        <f aca="false">LEN(G110)</f>
        <v>51</v>
      </c>
      <c r="I110" s="8" t="str">
        <f aca="false">IF(H110&lt;=60,"OK","Largo")</f>
        <v>OK</v>
      </c>
      <c r="J110" s="10" t="s">
        <v>1994</v>
      </c>
      <c r="K110" s="8" t="n">
        <f aca="false">LEN(J110)</f>
        <v>137</v>
      </c>
      <c r="L110" s="8" t="str">
        <f aca="false">IF(AND(K110&gt;=120,K110&lt;=155),"OK",IF(K110&lt;120,"Corta","Larga"))</f>
        <v>OK</v>
      </c>
      <c r="M110" s="9" t="s">
        <v>1539</v>
      </c>
    </row>
    <row r="111" customFormat="false" ht="23.85" hidden="false" customHeight="false" outlineLevel="0" collapsed="false">
      <c r="A111" s="8" t="s">
        <v>1995</v>
      </c>
      <c r="B111" s="9" t="s">
        <v>1996</v>
      </c>
      <c r="C111" s="8" t="n">
        <v>1</v>
      </c>
      <c r="D111" s="8" t="s">
        <v>1991</v>
      </c>
      <c r="E111" s="8" t="s">
        <v>1535</v>
      </c>
      <c r="F111" s="9" t="s">
        <v>1992</v>
      </c>
      <c r="G111" s="10" t="s">
        <v>1997</v>
      </c>
      <c r="H111" s="8" t="n">
        <f aca="false">LEN(G111)</f>
        <v>54</v>
      </c>
      <c r="I111" s="8" t="str">
        <f aca="false">IF(H111&lt;=60,"OK","Largo")</f>
        <v>OK</v>
      </c>
      <c r="J111" s="10" t="s">
        <v>1998</v>
      </c>
      <c r="K111" s="8" t="n">
        <f aca="false">LEN(J111)</f>
        <v>140</v>
      </c>
      <c r="L111" s="8" t="str">
        <f aca="false">IF(AND(K111&gt;=120,K111&lt;=155),"OK",IF(K111&lt;120,"Corta","Larga"))</f>
        <v>OK</v>
      </c>
      <c r="M111" s="9" t="s">
        <v>1539</v>
      </c>
    </row>
    <row r="112" customFormat="false" ht="23.85" hidden="false" customHeight="false" outlineLevel="0" collapsed="false">
      <c r="A112" s="8" t="s">
        <v>1999</v>
      </c>
      <c r="B112" s="9" t="s">
        <v>2000</v>
      </c>
      <c r="C112" s="8" t="n">
        <v>1</v>
      </c>
      <c r="D112" s="8" t="s">
        <v>1991</v>
      </c>
      <c r="E112" s="8" t="s">
        <v>1535</v>
      </c>
      <c r="F112" s="9" t="s">
        <v>1992</v>
      </c>
      <c r="G112" s="10" t="s">
        <v>2001</v>
      </c>
      <c r="H112" s="8" t="n">
        <f aca="false">LEN(G112)</f>
        <v>51</v>
      </c>
      <c r="I112" s="8" t="str">
        <f aca="false">IF(H112&lt;=60,"OK","Largo")</f>
        <v>OK</v>
      </c>
      <c r="J112" s="10" t="s">
        <v>2002</v>
      </c>
      <c r="K112" s="8" t="n">
        <f aca="false">LEN(J112)</f>
        <v>137</v>
      </c>
      <c r="L112" s="8" t="str">
        <f aca="false">IF(AND(K112&gt;=120,K112&lt;=155),"OK",IF(K112&lt;120,"Corta","Larga"))</f>
        <v>OK</v>
      </c>
      <c r="M112" s="9" t="s">
        <v>1539</v>
      </c>
    </row>
    <row r="113" customFormat="false" ht="23.85" hidden="false" customHeight="false" outlineLevel="0" collapsed="false">
      <c r="A113" s="8" t="s">
        <v>2003</v>
      </c>
      <c r="B113" s="9" t="s">
        <v>2004</v>
      </c>
      <c r="C113" s="8" t="n">
        <v>1</v>
      </c>
      <c r="D113" s="8" t="s">
        <v>1991</v>
      </c>
      <c r="E113" s="8" t="s">
        <v>1535</v>
      </c>
      <c r="F113" s="9" t="s">
        <v>1992</v>
      </c>
      <c r="G113" s="10" t="s">
        <v>2005</v>
      </c>
      <c r="H113" s="8" t="n">
        <f aca="false">LEN(G113)</f>
        <v>53</v>
      </c>
      <c r="I113" s="8" t="str">
        <f aca="false">IF(H113&lt;=60,"OK","Largo")</f>
        <v>OK</v>
      </c>
      <c r="J113" s="10" t="s">
        <v>2006</v>
      </c>
      <c r="K113" s="8" t="n">
        <f aca="false">LEN(J113)</f>
        <v>139</v>
      </c>
      <c r="L113" s="8" t="str">
        <f aca="false">IF(AND(K113&gt;=120,K113&lt;=155),"OK",IF(K113&lt;120,"Corta","Larga"))</f>
        <v>OK</v>
      </c>
      <c r="M113" s="9" t="s">
        <v>1539</v>
      </c>
    </row>
    <row r="114" customFormat="false" ht="23.85" hidden="false" customHeight="false" outlineLevel="0" collapsed="false">
      <c r="A114" s="8" t="s">
        <v>2007</v>
      </c>
      <c r="B114" s="9" t="s">
        <v>2008</v>
      </c>
      <c r="C114" s="8" t="n">
        <v>1</v>
      </c>
      <c r="D114" s="8" t="s">
        <v>1991</v>
      </c>
      <c r="E114" s="8" t="s">
        <v>1535</v>
      </c>
      <c r="F114" s="9" t="s">
        <v>1992</v>
      </c>
      <c r="G114" s="10" t="s">
        <v>2009</v>
      </c>
      <c r="H114" s="8" t="n">
        <f aca="false">LEN(G114)</f>
        <v>50</v>
      </c>
      <c r="I114" s="8" t="str">
        <f aca="false">IF(H114&lt;=60,"OK","Largo")</f>
        <v>OK</v>
      </c>
      <c r="J114" s="10" t="s">
        <v>2010</v>
      </c>
      <c r="K114" s="8" t="n">
        <f aca="false">LEN(J114)</f>
        <v>136</v>
      </c>
      <c r="L114" s="8" t="str">
        <f aca="false">IF(AND(K114&gt;=120,K114&lt;=155),"OK",IF(K114&lt;120,"Corta","Larga"))</f>
        <v>OK</v>
      </c>
      <c r="M114" s="9" t="s">
        <v>1539</v>
      </c>
    </row>
    <row r="115" customFormat="false" ht="23.85" hidden="false" customHeight="false" outlineLevel="0" collapsed="false">
      <c r="A115" s="8" t="s">
        <v>2011</v>
      </c>
      <c r="B115" s="9" t="s">
        <v>2012</v>
      </c>
      <c r="C115" s="8" t="n">
        <v>2</v>
      </c>
      <c r="D115" s="8" t="s">
        <v>1991</v>
      </c>
      <c r="E115" s="8" t="s">
        <v>1542</v>
      </c>
      <c r="F115" s="9" t="s">
        <v>1992</v>
      </c>
      <c r="G115" s="10" t="s">
        <v>2013</v>
      </c>
      <c r="H115" s="8" t="n">
        <f aca="false">LEN(G115)</f>
        <v>49</v>
      </c>
      <c r="I115" s="8" t="str">
        <f aca="false">IF(H115&lt;=60,"OK","Largo")</f>
        <v>OK</v>
      </c>
      <c r="J115" s="10" t="s">
        <v>2014</v>
      </c>
      <c r="K115" s="8" t="n">
        <f aca="false">LEN(J115)</f>
        <v>152</v>
      </c>
      <c r="L115" s="8" t="str">
        <f aca="false">IF(AND(K115&gt;=120,K115&lt;=155),"OK",IF(K115&lt;120,"Corta","Larga"))</f>
        <v>OK</v>
      </c>
      <c r="M115" s="9" t="s">
        <v>1539</v>
      </c>
    </row>
    <row r="116" customFormat="false" ht="23.85" hidden="false" customHeight="false" outlineLevel="0" collapsed="false">
      <c r="A116" s="8" t="s">
        <v>2015</v>
      </c>
      <c r="B116" s="9" t="s">
        <v>2016</v>
      </c>
      <c r="C116" s="8" t="n">
        <v>1</v>
      </c>
      <c r="D116" s="8" t="s">
        <v>1991</v>
      </c>
      <c r="E116" s="8" t="s">
        <v>1535</v>
      </c>
      <c r="F116" s="9" t="s">
        <v>1992</v>
      </c>
      <c r="G116" s="10" t="s">
        <v>2017</v>
      </c>
      <c r="H116" s="8" t="n">
        <f aca="false">LEN(G116)</f>
        <v>53</v>
      </c>
      <c r="I116" s="8" t="str">
        <f aca="false">IF(H116&lt;=60,"OK","Largo")</f>
        <v>OK</v>
      </c>
      <c r="J116" s="10" t="s">
        <v>2018</v>
      </c>
      <c r="K116" s="8" t="n">
        <f aca="false">LEN(J116)</f>
        <v>139</v>
      </c>
      <c r="L116" s="8" t="str">
        <f aca="false">IF(AND(K116&gt;=120,K116&lt;=155),"OK",IF(K116&lt;120,"Corta","Larga"))</f>
        <v>OK</v>
      </c>
      <c r="M116" s="9" t="s">
        <v>1539</v>
      </c>
    </row>
    <row r="117" customFormat="false" ht="23.85" hidden="false" customHeight="false" outlineLevel="0" collapsed="false">
      <c r="A117" s="8" t="s">
        <v>2019</v>
      </c>
      <c r="B117" s="9" t="s">
        <v>2020</v>
      </c>
      <c r="C117" s="8" t="n">
        <v>6</v>
      </c>
      <c r="D117" s="8" t="s">
        <v>2021</v>
      </c>
      <c r="E117" s="8" t="s">
        <v>1549</v>
      </c>
      <c r="F117" s="9" t="s">
        <v>1829</v>
      </c>
      <c r="G117" s="10" t="s">
        <v>2022</v>
      </c>
      <c r="H117" s="8" t="n">
        <f aca="false">LEN(G117)</f>
        <v>43</v>
      </c>
      <c r="I117" s="8" t="str">
        <f aca="false">IF(H117&lt;=60,"OK","Largo")</f>
        <v>OK</v>
      </c>
      <c r="J117" s="10" t="s">
        <v>2023</v>
      </c>
      <c r="K117" s="8" t="n">
        <f aca="false">LEN(J117)</f>
        <v>129</v>
      </c>
      <c r="L117" s="8" t="str">
        <f aca="false">IF(AND(K117&gt;=120,K117&lt;=155),"OK",IF(K117&lt;120,"Corta","Larga"))</f>
        <v>OK</v>
      </c>
      <c r="M117" s="9" t="s">
        <v>1539</v>
      </c>
    </row>
    <row r="118" customFormat="false" ht="23.85" hidden="false" customHeight="false" outlineLevel="0" collapsed="false">
      <c r="A118" s="8" t="s">
        <v>2024</v>
      </c>
      <c r="B118" s="9" t="s">
        <v>2025</v>
      </c>
      <c r="C118" s="8" t="n">
        <v>1</v>
      </c>
      <c r="D118" s="8" t="s">
        <v>2021</v>
      </c>
      <c r="E118" s="8" t="s">
        <v>1535</v>
      </c>
      <c r="F118" s="9" t="s">
        <v>2026</v>
      </c>
      <c r="G118" s="10" t="s">
        <v>2027</v>
      </c>
      <c r="H118" s="8" t="n">
        <f aca="false">LEN(G118)</f>
        <v>42</v>
      </c>
      <c r="I118" s="8" t="str">
        <f aca="false">IF(H118&lt;=60,"OK","Largo")</f>
        <v>OK</v>
      </c>
      <c r="J118" s="10" t="s">
        <v>2028</v>
      </c>
      <c r="K118" s="8" t="n">
        <f aca="false">LEN(J118)</f>
        <v>128</v>
      </c>
      <c r="L118" s="8" t="str">
        <f aca="false">IF(AND(K118&gt;=120,K118&lt;=155),"OK",IF(K118&lt;120,"Corta","Larga"))</f>
        <v>OK</v>
      </c>
      <c r="M118" s="9" t="s">
        <v>1539</v>
      </c>
    </row>
    <row r="119" customFormat="false" ht="23.85" hidden="false" customHeight="false" outlineLevel="0" collapsed="false">
      <c r="A119" s="8" t="s">
        <v>2029</v>
      </c>
      <c r="B119" s="9" t="s">
        <v>2030</v>
      </c>
      <c r="C119" s="8" t="n">
        <v>4</v>
      </c>
      <c r="D119" s="8" t="s">
        <v>2021</v>
      </c>
      <c r="E119" s="8" t="s">
        <v>1542</v>
      </c>
      <c r="F119" s="9" t="s">
        <v>1829</v>
      </c>
      <c r="G119" s="10" t="s">
        <v>2031</v>
      </c>
      <c r="H119" s="8" t="n">
        <f aca="false">LEN(G119)</f>
        <v>47</v>
      </c>
      <c r="I119" s="8" t="str">
        <f aca="false">IF(H119&lt;=60,"OK","Largo")</f>
        <v>OK</v>
      </c>
      <c r="J119" s="10" t="s">
        <v>2032</v>
      </c>
      <c r="K119" s="8" t="n">
        <f aca="false">LEN(J119)</f>
        <v>133</v>
      </c>
      <c r="L119" s="8" t="str">
        <f aca="false">IF(AND(K119&gt;=120,K119&lt;=155),"OK",IF(K119&lt;120,"Corta","Larga"))</f>
        <v>OK</v>
      </c>
      <c r="M119" s="9" t="s">
        <v>1539</v>
      </c>
    </row>
  </sheetData>
  <autoFilter ref="A1:M1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90"/>
    <col collapsed="false" customWidth="true" hidden="false" outlineLevel="0" max="5" min="5" style="0" width="10"/>
    <col collapsed="false" customWidth="true" hidden="false" outlineLevel="0" max="6" min="6" style="0" width="46"/>
    <col collapsed="false" customWidth="true" hidden="false" outlineLevel="0" max="7" min="7" style="0" width="70"/>
  </cols>
  <sheetData>
    <row r="1" customFormat="false" ht="31.5" hidden="false" customHeight="true" outlineLevel="0" collapsed="false">
      <c r="A1" s="7" t="s">
        <v>2033</v>
      </c>
      <c r="B1" s="7" t="s">
        <v>47</v>
      </c>
      <c r="C1" s="7" t="s">
        <v>2034</v>
      </c>
      <c r="D1" s="7" t="s">
        <v>2035</v>
      </c>
      <c r="E1" s="7" t="s">
        <v>2036</v>
      </c>
      <c r="F1" s="7" t="s">
        <v>2037</v>
      </c>
      <c r="G1" s="7" t="s">
        <v>2038</v>
      </c>
    </row>
    <row r="2" customFormat="false" ht="35.05" hidden="false" customHeight="false" outlineLevel="0" collapsed="false">
      <c r="A2" s="8" t="s">
        <v>1577</v>
      </c>
      <c r="B2" s="8" t="s">
        <v>1576</v>
      </c>
      <c r="C2" s="10" t="s">
        <v>2039</v>
      </c>
      <c r="D2" s="10" t="s">
        <v>2040</v>
      </c>
      <c r="E2" s="8" t="n">
        <f aca="false">LEN(TRIM(D2))-LEN(SUBSTITUTE(TRIM(D2)," ",""))+1</f>
        <v>41</v>
      </c>
      <c r="F2" s="10" t="s">
        <v>2041</v>
      </c>
      <c r="G2" s="10" t="s">
        <v>2042</v>
      </c>
    </row>
    <row r="3" customFormat="false" ht="35.05" hidden="false" customHeight="false" outlineLevel="0" collapsed="false">
      <c r="A3" s="8" t="s">
        <v>1600</v>
      </c>
      <c r="B3" s="8" t="s">
        <v>1599</v>
      </c>
      <c r="C3" s="10" t="s">
        <v>2043</v>
      </c>
      <c r="D3" s="10" t="s">
        <v>2044</v>
      </c>
      <c r="E3" s="8" t="n">
        <f aca="false">LEN(TRIM(D3))-LEN(SUBSTITUTE(TRIM(D3)," ",""))+1</f>
        <v>34</v>
      </c>
      <c r="F3" s="10" t="s">
        <v>2045</v>
      </c>
      <c r="G3" s="10" t="s">
        <v>2046</v>
      </c>
    </row>
    <row r="4" customFormat="false" ht="23.85" hidden="false" customHeight="false" outlineLevel="0" collapsed="false">
      <c r="A4" s="8" t="s">
        <v>1582</v>
      </c>
      <c r="B4" s="8" t="s">
        <v>1581</v>
      </c>
      <c r="C4" s="10" t="s">
        <v>2047</v>
      </c>
      <c r="D4" s="10" t="s">
        <v>2048</v>
      </c>
      <c r="E4" s="8" t="n">
        <f aca="false">LEN(TRIM(D4))-LEN(SUBSTITUTE(TRIM(D4)," ",""))+1</f>
        <v>29</v>
      </c>
      <c r="F4" s="10" t="s">
        <v>2049</v>
      </c>
      <c r="G4" s="10" t="s">
        <v>2050</v>
      </c>
    </row>
    <row r="5" customFormat="false" ht="23.85" hidden="false" customHeight="false" outlineLevel="0" collapsed="false">
      <c r="A5" s="8" t="s">
        <v>1586</v>
      </c>
      <c r="B5" s="8" t="s">
        <v>1585</v>
      </c>
      <c r="C5" s="10" t="s">
        <v>2051</v>
      </c>
      <c r="D5" s="10" t="s">
        <v>2052</v>
      </c>
      <c r="E5" s="8" t="n">
        <f aca="false">LEN(TRIM(D5))-LEN(SUBSTITUTE(TRIM(D5)," ",""))+1</f>
        <v>22</v>
      </c>
      <c r="F5" s="10" t="s">
        <v>2053</v>
      </c>
      <c r="G5" s="10" t="s">
        <v>2054</v>
      </c>
    </row>
    <row r="6" customFormat="false" ht="23.85" hidden="false" customHeight="false" outlineLevel="0" collapsed="false">
      <c r="A6" s="8" t="s">
        <v>1735</v>
      </c>
      <c r="B6" s="8" t="s">
        <v>1734</v>
      </c>
      <c r="C6" s="10" t="s">
        <v>2055</v>
      </c>
      <c r="D6" s="10" t="s">
        <v>2056</v>
      </c>
      <c r="E6" s="8" t="n">
        <f aca="false">LEN(TRIM(D6))-LEN(SUBSTITUTE(TRIM(D6)," ",""))+1</f>
        <v>31</v>
      </c>
      <c r="F6" s="10" t="s">
        <v>2057</v>
      </c>
      <c r="G6" s="10" t="s">
        <v>2058</v>
      </c>
    </row>
    <row r="7" customFormat="false" ht="23.85" hidden="false" customHeight="false" outlineLevel="0" collapsed="false">
      <c r="A7" s="8" t="s">
        <v>1617</v>
      </c>
      <c r="B7" s="8" t="s">
        <v>1616</v>
      </c>
      <c r="C7" s="10" t="s">
        <v>2059</v>
      </c>
      <c r="D7" s="10" t="s">
        <v>2060</v>
      </c>
      <c r="E7" s="8" t="n">
        <f aca="false">LEN(TRIM(D7))-LEN(SUBSTITUTE(TRIM(D7)," ",""))+1</f>
        <v>27</v>
      </c>
      <c r="F7" s="10" t="s">
        <v>2061</v>
      </c>
      <c r="G7" s="10" t="s">
        <v>2062</v>
      </c>
    </row>
    <row r="8" customFormat="false" ht="23.85" hidden="false" customHeight="false" outlineLevel="0" collapsed="false">
      <c r="A8" s="8" t="s">
        <v>1679</v>
      </c>
      <c r="B8" s="8" t="s">
        <v>1678</v>
      </c>
      <c r="C8" s="10" t="s">
        <v>2063</v>
      </c>
      <c r="D8" s="10" t="s">
        <v>2064</v>
      </c>
      <c r="E8" s="8" t="n">
        <f aca="false">LEN(TRIM(D8))-LEN(SUBSTITUTE(TRIM(D8)," ",""))+1</f>
        <v>22</v>
      </c>
      <c r="F8" s="10" t="s">
        <v>2065</v>
      </c>
      <c r="G8" s="10" t="s">
        <v>2066</v>
      </c>
    </row>
    <row r="9" customFormat="false" ht="23.85" hidden="false" customHeight="false" outlineLevel="0" collapsed="false">
      <c r="A9" s="8" t="s">
        <v>1758</v>
      </c>
      <c r="B9" s="8" t="s">
        <v>1757</v>
      </c>
      <c r="C9" s="10" t="s">
        <v>2067</v>
      </c>
      <c r="D9" s="10" t="s">
        <v>2068</v>
      </c>
      <c r="E9" s="8" t="n">
        <f aca="false">LEN(TRIM(D9))-LEN(SUBSTITUTE(TRIM(D9)," ",""))+1</f>
        <v>21</v>
      </c>
      <c r="F9" s="10" t="s">
        <v>2069</v>
      </c>
      <c r="G9" s="10" t="s">
        <v>2070</v>
      </c>
    </row>
    <row r="10" customFormat="false" ht="23.85" hidden="false" customHeight="false" outlineLevel="0" collapsed="false">
      <c r="A10" s="8" t="s">
        <v>1675</v>
      </c>
      <c r="B10" s="8" t="s">
        <v>1674</v>
      </c>
      <c r="C10" s="10" t="s">
        <v>2071</v>
      </c>
      <c r="D10" s="10" t="s">
        <v>2072</v>
      </c>
      <c r="E10" s="8" t="n">
        <f aca="false">LEN(TRIM(D10))-LEN(SUBSTITUTE(TRIM(D10)," ",""))+1</f>
        <v>22</v>
      </c>
      <c r="F10" s="10" t="s">
        <v>2073</v>
      </c>
      <c r="G10" s="10" t="s">
        <v>2074</v>
      </c>
    </row>
    <row r="11" customFormat="false" ht="23.85" hidden="false" customHeight="false" outlineLevel="0" collapsed="false">
      <c r="A11" s="8" t="s">
        <v>1667</v>
      </c>
      <c r="B11" s="8" t="s">
        <v>1666</v>
      </c>
      <c r="C11" s="10" t="s">
        <v>2075</v>
      </c>
      <c r="D11" s="10" t="s">
        <v>2076</v>
      </c>
      <c r="E11" s="8" t="n">
        <f aca="false">LEN(TRIM(D11))-LEN(SUBSTITUTE(TRIM(D11)," ",""))+1</f>
        <v>21</v>
      </c>
      <c r="F11" s="10" t="s">
        <v>2077</v>
      </c>
      <c r="G11" s="10" t="s">
        <v>2078</v>
      </c>
    </row>
    <row r="12" customFormat="false" ht="23.85" hidden="false" customHeight="false" outlineLevel="0" collapsed="false">
      <c r="A12" s="8" t="s">
        <v>1754</v>
      </c>
      <c r="B12" s="8" t="s">
        <v>1753</v>
      </c>
      <c r="C12" s="10" t="s">
        <v>2079</v>
      </c>
      <c r="D12" s="10" t="s">
        <v>2080</v>
      </c>
      <c r="E12" s="8" t="n">
        <f aca="false">LEN(TRIM(D12))-LEN(SUBSTITUTE(TRIM(D12)," ",""))+1</f>
        <v>24</v>
      </c>
      <c r="F12" s="10" t="s">
        <v>2081</v>
      </c>
      <c r="G12" s="10" t="s">
        <v>2082</v>
      </c>
    </row>
    <row r="13" customFormat="false" ht="23.85" hidden="false" customHeight="false" outlineLevel="0" collapsed="false">
      <c r="A13" s="8" t="s">
        <v>1815</v>
      </c>
      <c r="B13" s="8" t="s">
        <v>1814</v>
      </c>
      <c r="C13" s="10" t="s">
        <v>2083</v>
      </c>
      <c r="D13" s="10" t="s">
        <v>2084</v>
      </c>
      <c r="E13" s="8" t="n">
        <f aca="false">LEN(TRIM(D13))-LEN(SUBSTITUTE(TRIM(D13)," ",""))+1</f>
        <v>20</v>
      </c>
      <c r="F13" s="10" t="s">
        <v>2085</v>
      </c>
      <c r="G13" s="10" t="s">
        <v>2086</v>
      </c>
    </row>
    <row r="14" customFormat="false" ht="23.85" hidden="false" customHeight="false" outlineLevel="0" collapsed="false">
      <c r="A14" s="8" t="s">
        <v>1694</v>
      </c>
      <c r="B14" s="8" t="s">
        <v>1693</v>
      </c>
      <c r="C14" s="10" t="s">
        <v>2087</v>
      </c>
      <c r="D14" s="10" t="s">
        <v>2088</v>
      </c>
      <c r="E14" s="8" t="n">
        <f aca="false">LEN(TRIM(D14))-LEN(SUBSTITUTE(TRIM(D14)," ",""))+1</f>
        <v>20</v>
      </c>
      <c r="F14" s="10" t="s">
        <v>2089</v>
      </c>
      <c r="G14" s="10" t="s">
        <v>2090</v>
      </c>
    </row>
    <row r="15" customFormat="false" ht="23.85" hidden="false" customHeight="false" outlineLevel="0" collapsed="false">
      <c r="A15" s="8" t="s">
        <v>1707</v>
      </c>
      <c r="B15" s="8" t="s">
        <v>1706</v>
      </c>
      <c r="C15" s="10" t="s">
        <v>2091</v>
      </c>
      <c r="D15" s="10" t="s">
        <v>2092</v>
      </c>
      <c r="E15" s="8" t="n">
        <f aca="false">LEN(TRIM(D15))-LEN(SUBSTITUTE(TRIM(D15)," ",""))+1</f>
        <v>23</v>
      </c>
      <c r="F15" s="10" t="s">
        <v>2093</v>
      </c>
      <c r="G15" s="10" t="s">
        <v>2094</v>
      </c>
    </row>
    <row r="16" customFormat="false" ht="23.85" hidden="false" customHeight="false" outlineLevel="0" collapsed="false">
      <c r="A16" s="8" t="s">
        <v>1731</v>
      </c>
      <c r="B16" s="8" t="s">
        <v>1730</v>
      </c>
      <c r="C16" s="10" t="s">
        <v>2095</v>
      </c>
      <c r="D16" s="10" t="s">
        <v>2096</v>
      </c>
      <c r="E16" s="8" t="n">
        <f aca="false">LEN(TRIM(D16))-LEN(SUBSTITUTE(TRIM(D16)," ",""))+1</f>
        <v>27</v>
      </c>
      <c r="F16" s="10" t="s">
        <v>2097</v>
      </c>
      <c r="G16" s="10" t="s">
        <v>2098</v>
      </c>
    </row>
    <row r="17" customFormat="false" ht="23.85" hidden="false" customHeight="false" outlineLevel="0" collapsed="false">
      <c r="A17" s="8" t="s">
        <v>1590</v>
      </c>
      <c r="B17" s="8" t="s">
        <v>1589</v>
      </c>
      <c r="C17" s="10" t="s">
        <v>2099</v>
      </c>
      <c r="D17" s="10" t="s">
        <v>2100</v>
      </c>
      <c r="E17" s="8" t="n">
        <f aca="false">LEN(TRIM(D17))-LEN(SUBSTITUTE(TRIM(D17)," ",""))+1</f>
        <v>18</v>
      </c>
      <c r="F17" s="10" t="s">
        <v>2101</v>
      </c>
      <c r="G17" s="10" t="s">
        <v>2102</v>
      </c>
    </row>
    <row r="18" customFormat="false" ht="23.85" hidden="false" customHeight="false" outlineLevel="0" collapsed="false">
      <c r="A18" s="8" t="s">
        <v>1547</v>
      </c>
      <c r="B18" s="8" t="s">
        <v>1546</v>
      </c>
      <c r="C18" s="10" t="s">
        <v>2103</v>
      </c>
      <c r="D18" s="10" t="s">
        <v>2104</v>
      </c>
      <c r="E18" s="8" t="n">
        <f aca="false">LEN(TRIM(D18))-LEN(SUBSTITUTE(TRIM(D18)," ",""))+1</f>
        <v>25</v>
      </c>
      <c r="F18" s="10" t="s">
        <v>2105</v>
      </c>
      <c r="G18" s="10" t="s">
        <v>2106</v>
      </c>
    </row>
    <row r="19" customFormat="false" ht="23.85" hidden="false" customHeight="false" outlineLevel="0" collapsed="false">
      <c r="A19" s="8" t="s">
        <v>1554</v>
      </c>
      <c r="B19" s="8" t="s">
        <v>1553</v>
      </c>
      <c r="C19" s="10" t="s">
        <v>2107</v>
      </c>
      <c r="D19" s="10" t="s">
        <v>2108</v>
      </c>
      <c r="E19" s="8" t="n">
        <f aca="false">LEN(TRIM(D19))-LEN(SUBSTITUTE(TRIM(D19)," ",""))+1</f>
        <v>25</v>
      </c>
      <c r="F19" s="10" t="s">
        <v>2109</v>
      </c>
      <c r="G19" s="10" t="s">
        <v>2110</v>
      </c>
    </row>
    <row r="20" customFormat="false" ht="23.85" hidden="false" customHeight="false" outlineLevel="0" collapsed="false">
      <c r="A20" s="8" t="s">
        <v>1558</v>
      </c>
      <c r="B20" s="8" t="s">
        <v>1557</v>
      </c>
      <c r="C20" s="10" t="s">
        <v>2111</v>
      </c>
      <c r="D20" s="10" t="s">
        <v>2112</v>
      </c>
      <c r="E20" s="8" t="n">
        <f aca="false">LEN(TRIM(D20))-LEN(SUBSTITUTE(TRIM(D20)," ",""))+1</f>
        <v>19</v>
      </c>
      <c r="F20" s="10" t="s">
        <v>2113</v>
      </c>
      <c r="G20" s="10" t="s">
        <v>2114</v>
      </c>
    </row>
    <row r="21" customFormat="false" ht="23.85" hidden="false" customHeight="false" outlineLevel="0" collapsed="false">
      <c r="A21" s="8" t="s">
        <v>1563</v>
      </c>
      <c r="B21" s="8" t="s">
        <v>1562</v>
      </c>
      <c r="C21" s="10" t="s">
        <v>2115</v>
      </c>
      <c r="D21" s="10" t="s">
        <v>2116</v>
      </c>
      <c r="E21" s="8" t="n">
        <f aca="false">LEN(TRIM(D21))-LEN(SUBSTITUTE(TRIM(D21)," ",""))+1</f>
        <v>19</v>
      </c>
      <c r="F21" s="10" t="s">
        <v>2117</v>
      </c>
      <c r="G21" s="10" t="s">
        <v>2110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70"/>
    <col collapsed="false" customWidth="true" hidden="false" outlineLevel="0" max="5" min="5" style="0" width="28"/>
    <col collapsed="false" customWidth="true" hidden="false" outlineLevel="0" max="6" min="6" style="0" width="10"/>
  </cols>
  <sheetData>
    <row r="1" customFormat="false" ht="31.5" hidden="false" customHeight="true" outlineLevel="0" collapsed="false">
      <c r="A1" s="7" t="s">
        <v>2118</v>
      </c>
      <c r="B1" s="7" t="s">
        <v>2033</v>
      </c>
      <c r="C1" s="7" t="s">
        <v>2119</v>
      </c>
      <c r="D1" s="7" t="s">
        <v>2120</v>
      </c>
      <c r="E1" s="7" t="s">
        <v>2121</v>
      </c>
      <c r="F1" s="7" t="s">
        <v>1528</v>
      </c>
    </row>
    <row r="2" customFormat="false" ht="15" hidden="false" customHeight="false" outlineLevel="0" collapsed="false">
      <c r="A2" s="8" t="s">
        <v>1734</v>
      </c>
      <c r="B2" s="8" t="s">
        <v>1735</v>
      </c>
      <c r="C2" s="10" t="s">
        <v>2122</v>
      </c>
      <c r="D2" s="10" t="s">
        <v>2123</v>
      </c>
      <c r="E2" s="8" t="s">
        <v>2124</v>
      </c>
      <c r="F2" s="8" t="s">
        <v>1549</v>
      </c>
    </row>
    <row r="3" customFormat="false" ht="15" hidden="false" customHeight="false" outlineLevel="0" collapsed="false">
      <c r="A3" s="8" t="s">
        <v>1616</v>
      </c>
      <c r="B3" s="8" t="s">
        <v>1617</v>
      </c>
      <c r="C3" s="10" t="s">
        <v>2125</v>
      </c>
      <c r="D3" s="10" t="s">
        <v>2126</v>
      </c>
      <c r="E3" s="8" t="s">
        <v>2124</v>
      </c>
      <c r="F3" s="8" t="s">
        <v>1549</v>
      </c>
    </row>
    <row r="4" customFormat="false" ht="15" hidden="false" customHeight="false" outlineLevel="0" collapsed="false">
      <c r="A4" s="8" t="s">
        <v>1678</v>
      </c>
      <c r="B4" s="8" t="s">
        <v>1679</v>
      </c>
      <c r="C4" s="10" t="s">
        <v>2127</v>
      </c>
      <c r="D4" s="10" t="s">
        <v>2128</v>
      </c>
      <c r="E4" s="8" t="s">
        <v>2124</v>
      </c>
      <c r="F4" s="8" t="s">
        <v>1549</v>
      </c>
    </row>
    <row r="5" customFormat="false" ht="15" hidden="false" customHeight="false" outlineLevel="0" collapsed="false">
      <c r="A5" s="8" t="s">
        <v>1757</v>
      </c>
      <c r="B5" s="8" t="s">
        <v>1758</v>
      </c>
      <c r="C5" s="10" t="s">
        <v>2129</v>
      </c>
      <c r="D5" s="10" t="s">
        <v>2130</v>
      </c>
      <c r="E5" s="8" t="s">
        <v>2124</v>
      </c>
      <c r="F5" s="8" t="s">
        <v>1542</v>
      </c>
    </row>
    <row r="6" customFormat="false" ht="15" hidden="false" customHeight="false" outlineLevel="0" collapsed="false">
      <c r="A6" s="8" t="s">
        <v>1674</v>
      </c>
      <c r="B6" s="8" t="s">
        <v>1675</v>
      </c>
      <c r="C6" s="10" t="s">
        <v>2131</v>
      </c>
      <c r="D6" s="10" t="s">
        <v>2132</v>
      </c>
      <c r="E6" s="8" t="s">
        <v>2124</v>
      </c>
      <c r="F6" s="8" t="s">
        <v>1542</v>
      </c>
    </row>
    <row r="7" customFormat="false" ht="15" hidden="false" customHeight="false" outlineLevel="0" collapsed="false">
      <c r="A7" s="8" t="s">
        <v>1666</v>
      </c>
      <c r="B7" s="8" t="s">
        <v>1667</v>
      </c>
      <c r="C7" s="10" t="s">
        <v>2133</v>
      </c>
      <c r="D7" s="10" t="s">
        <v>2134</v>
      </c>
      <c r="E7" s="8" t="s">
        <v>2124</v>
      </c>
      <c r="F7" s="8" t="s">
        <v>1549</v>
      </c>
    </row>
    <row r="8" customFormat="false" ht="15" hidden="false" customHeight="false" outlineLevel="0" collapsed="false">
      <c r="A8" s="8" t="s">
        <v>1753</v>
      </c>
      <c r="B8" s="8" t="s">
        <v>1754</v>
      </c>
      <c r="C8" s="10" t="s">
        <v>2135</v>
      </c>
      <c r="D8" s="10" t="s">
        <v>2136</v>
      </c>
      <c r="E8" s="8" t="s">
        <v>2124</v>
      </c>
      <c r="F8" s="8" t="s">
        <v>1549</v>
      </c>
    </row>
    <row r="9" customFormat="false" ht="15" hidden="false" customHeight="false" outlineLevel="0" collapsed="false">
      <c r="A9" s="8" t="s">
        <v>1814</v>
      </c>
      <c r="B9" s="8" t="s">
        <v>1815</v>
      </c>
      <c r="C9" s="10" t="s">
        <v>2137</v>
      </c>
      <c r="D9" s="10" t="s">
        <v>2138</v>
      </c>
      <c r="E9" s="8" t="s">
        <v>2124</v>
      </c>
      <c r="F9" s="8" t="s">
        <v>1549</v>
      </c>
    </row>
    <row r="10" customFormat="false" ht="15" hidden="false" customHeight="false" outlineLevel="0" collapsed="false">
      <c r="A10" s="8" t="s">
        <v>1693</v>
      </c>
      <c r="B10" s="8" t="s">
        <v>1694</v>
      </c>
      <c r="C10" s="10" t="s">
        <v>2139</v>
      </c>
      <c r="D10" s="10" t="s">
        <v>2140</v>
      </c>
      <c r="E10" s="8" t="s">
        <v>2124</v>
      </c>
      <c r="F10" s="8" t="s">
        <v>1542</v>
      </c>
    </row>
    <row r="11" customFormat="false" ht="15" hidden="false" customHeight="false" outlineLevel="0" collapsed="false">
      <c r="A11" s="8" t="s">
        <v>1706</v>
      </c>
      <c r="B11" s="8" t="s">
        <v>1707</v>
      </c>
      <c r="C11" s="10" t="s">
        <v>2141</v>
      </c>
      <c r="D11" s="10" t="s">
        <v>2142</v>
      </c>
      <c r="E11" s="8" t="s">
        <v>2124</v>
      </c>
      <c r="F11" s="8" t="s">
        <v>1549</v>
      </c>
    </row>
    <row r="12" customFormat="false" ht="15" hidden="false" customHeight="false" outlineLevel="0" collapsed="false">
      <c r="A12" s="8" t="s">
        <v>1730</v>
      </c>
      <c r="B12" s="8" t="s">
        <v>1731</v>
      </c>
      <c r="C12" s="10" t="s">
        <v>2143</v>
      </c>
      <c r="D12" s="10" t="s">
        <v>2144</v>
      </c>
      <c r="E12" s="8" t="s">
        <v>2124</v>
      </c>
      <c r="F12" s="8" t="s">
        <v>1542</v>
      </c>
    </row>
    <row r="13" customFormat="false" ht="15" hidden="false" customHeight="false" outlineLevel="0" collapsed="false">
      <c r="A13" s="8" t="s">
        <v>1576</v>
      </c>
      <c r="B13" s="8" t="s">
        <v>1577</v>
      </c>
      <c r="C13" s="10" t="s">
        <v>2145</v>
      </c>
      <c r="D13" s="10" t="s">
        <v>2146</v>
      </c>
      <c r="E13" s="8" t="s">
        <v>2147</v>
      </c>
      <c r="F13" s="8" t="s">
        <v>1549</v>
      </c>
    </row>
    <row r="14" customFormat="false" ht="15" hidden="false" customHeight="false" outlineLevel="0" collapsed="false">
      <c r="A14" s="8" t="s">
        <v>1599</v>
      </c>
      <c r="B14" s="8" t="s">
        <v>1600</v>
      </c>
      <c r="C14" s="10" t="s">
        <v>2148</v>
      </c>
      <c r="D14" s="10" t="s">
        <v>2149</v>
      </c>
      <c r="E14" s="8" t="s">
        <v>2147</v>
      </c>
      <c r="F14" s="8" t="s">
        <v>1549</v>
      </c>
    </row>
    <row r="15" customFormat="false" ht="15" hidden="false" customHeight="false" outlineLevel="0" collapsed="false">
      <c r="A15" s="8" t="s">
        <v>2150</v>
      </c>
      <c r="B15" s="8" t="s">
        <v>2151</v>
      </c>
      <c r="C15" s="10" t="s">
        <v>2152</v>
      </c>
      <c r="D15" s="10" t="s">
        <v>2153</v>
      </c>
      <c r="E15" s="8" t="s">
        <v>2154</v>
      </c>
      <c r="F15" s="8" t="s">
        <v>1549</v>
      </c>
    </row>
    <row r="16" customFormat="false" ht="15" hidden="false" customHeight="false" outlineLevel="0" collapsed="false">
      <c r="A16" s="8" t="s">
        <v>1589</v>
      </c>
      <c r="B16" s="8" t="s">
        <v>1590</v>
      </c>
      <c r="C16" s="10" t="s">
        <v>2155</v>
      </c>
      <c r="D16" s="10" t="s">
        <v>2156</v>
      </c>
      <c r="E16" s="8" t="s">
        <v>2124</v>
      </c>
      <c r="F16" s="8" t="s">
        <v>1542</v>
      </c>
    </row>
    <row r="18" customFormat="false" ht="15" hidden="false" customHeight="false" outlineLevel="0" collapsed="false">
      <c r="A18" s="11" t="s">
        <v>2157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50"/>
    <col collapsed="false" customWidth="true" hidden="false" outlineLevel="0" max="4" min="4" style="0" width="70"/>
  </cols>
  <sheetData>
    <row r="1" customFormat="false" ht="31.5" hidden="false" customHeight="true" outlineLevel="0" collapsed="false">
      <c r="A1" s="7" t="s">
        <v>47</v>
      </c>
      <c r="B1" s="7" t="s">
        <v>2158</v>
      </c>
      <c r="C1" s="7" t="s">
        <v>2159</v>
      </c>
      <c r="D1" s="7" t="s">
        <v>2160</v>
      </c>
    </row>
    <row r="2" customFormat="false" ht="23.85" hidden="false" customHeight="false" outlineLevel="0" collapsed="false">
      <c r="A2" s="8" t="str">
        <f aca="false">Productos!A2</f>
        <v>horno-tipo-batch-mwb2260r-440-75</v>
      </c>
      <c r="B2" s="9" t="str">
        <f aca="false">Productos!D2</f>
        <v>Horno Tipo Batch MWB2260R-440-75 Amtek</v>
      </c>
      <c r="C2" s="9" t="str">
        <f aca="false">Productos!E2</f>
        <v>Horno Tipo Batch MWB2260R-440-75 Amtek | Technofood Colombia</v>
      </c>
      <c r="D2" s="9" t="str">
        <f aca="false">Productos!H2</f>
        <v>Horno Tipo Batch MWB2260R-440-75 Amtek: equipo industrial. Distribuidor autorizado en Colombia. Solicite su cotización con un asesor de Technofood.</v>
      </c>
    </row>
    <row r="3" customFormat="false" ht="23.85" hidden="false" customHeight="false" outlineLevel="0" collapsed="false">
      <c r="A3" s="8" t="str">
        <f aca="false">Productos!A3</f>
        <v>agente-abrillantador-backglanz-fix-fertig-100-vegetal</v>
      </c>
      <c r="B3" s="9" t="str">
        <f aca="false">Productos!D3</f>
        <v>Agente Abrillantador BackGlanz Fix &amp; Fertig (100% Vegetal) Boyens</v>
      </c>
      <c r="C3" s="9" t="str">
        <f aca="false">Productos!E3</f>
        <v>Agente Abrillantador BackGlanz Fix &amp; Fertig | Boyens</v>
      </c>
      <c r="D3" s="9" t="str">
        <f aca="false">Productos!H3</f>
        <v>Agente Abrillantador BackGlanz Fix &amp; Fertig Boyens. Distribuidor autorizado en Colombia. Solicite su cotización con Technofood.</v>
      </c>
    </row>
    <row r="4" customFormat="false" ht="23.85" hidden="false" customHeight="false" outlineLevel="0" collapsed="false">
      <c r="A4" s="8" t="str">
        <f aca="false">Productos!A4</f>
        <v>cortadora-cws-300</v>
      </c>
      <c r="B4" s="9" t="str">
        <f aca="false">Productos!D4</f>
        <v>Cortadora CWS 300 Grasselli</v>
      </c>
      <c r="C4" s="9" t="str">
        <f aca="false">Productos!E4</f>
        <v>Cortadora CWS 300 Grasselli | Technofood Colombia</v>
      </c>
      <c r="D4" s="9" t="str">
        <f aca="false">Productos!H4</f>
        <v>Cortadora CWS 300 Grasselli: equipo industrial para la industria de alimentos. Distribuidor autorizado en Colombia. Solicite su cotización con Technofood.</v>
      </c>
    </row>
    <row r="5" customFormat="false" ht="23.85" hidden="false" customHeight="false" outlineLevel="0" collapsed="false">
      <c r="A5" s="8" t="str">
        <f aca="false">Productos!A5</f>
        <v>sistema-de-temperado-amt4412r-440-2x74</v>
      </c>
      <c r="B5" s="9" t="str">
        <f aca="false">Productos!D5</f>
        <v>Sistema de Temperado AMT4412R-440-2X74 Amtek</v>
      </c>
      <c r="C5" s="9" t="str">
        <f aca="false">Productos!E5</f>
        <v>Sistema de Temperado AMT4412R-440-2X74 Amtek | Technofood</v>
      </c>
      <c r="D5" s="9" t="str">
        <f aca="false">Productos!H5</f>
        <v>Sistema de Temperado AMT4412R-440-2X74 Amtek: equipo industrial. Distribuidor autorizado en Colombia. Solicite su cotización con un asesor de Technofood.</v>
      </c>
    </row>
    <row r="6" customFormat="false" ht="23.85" hidden="false" customHeight="false" outlineLevel="0" collapsed="false">
      <c r="A6" s="8" t="str">
        <f aca="false">Productos!A6</f>
        <v>sistema-de-temperado-amt4412r-440-75</v>
      </c>
      <c r="B6" s="9" t="str">
        <f aca="false">Productos!D6</f>
        <v>Sistema de Temperado AMT4412R-440-75 Amtek</v>
      </c>
      <c r="C6" s="9" t="str">
        <f aca="false">Productos!E6</f>
        <v>Sistema de Temperado AMT4412R-440-75 Amtek | Technofood</v>
      </c>
      <c r="D6" s="9" t="str">
        <f aca="false">Productos!H6</f>
        <v>Sistema de Temperado AMT4412R-440-75 Amtek: equipo industrial. Distribuidor autorizado en Colombia. Solicite su cotización con un asesor de Technofood.</v>
      </c>
    </row>
    <row r="7" customFormat="false" ht="23.85" hidden="false" customHeight="false" outlineLevel="0" collapsed="false">
      <c r="A7" s="8" t="str">
        <f aca="false">Productos!A7</f>
        <v>arandela-compacta-para-suela-y-empeines-550402m</v>
      </c>
      <c r="B7" s="9" t="str">
        <f aca="false">Productos!D7</f>
        <v>Arandela Compacta para Suela y Empeines 550402M AWE</v>
      </c>
      <c r="C7" s="9" t="str">
        <f aca="false">Productos!E7</f>
        <v>Arandela Compacta para Suela y Empeines 550402M AWE</v>
      </c>
      <c r="D7" s="9" t="str">
        <f aca="false">Productos!H7</f>
        <v>Arandela Compacta para Suela y Empeines 550402M AWE. Distribuidor autorizado en Colombia. Solicite su cotización con Technofood.</v>
      </c>
    </row>
    <row r="8" customFormat="false" ht="23.85" hidden="false" customHeight="false" outlineLevel="0" collapsed="false">
      <c r="A8" s="8" t="str">
        <f aca="false">Productos!A8</f>
        <v>dispositivo-movil-de-desinfeccion-de-manos-spraybox-551801-nm</v>
      </c>
      <c r="B8" s="9" t="str">
        <f aca="false">Productos!D8</f>
        <v>Dispositivo Móvil de Desinfección de Manos Spraybox 551801 NM AWE</v>
      </c>
      <c r="C8" s="9" t="str">
        <f aca="false">Productos!E8</f>
        <v>Desinfección de Manos Spraybox 551801 NM | AWE</v>
      </c>
      <c r="D8" s="9" t="str">
        <f aca="false">Productos!H8</f>
        <v>Dispositivo de Desinfección de Manos Spraybox 551801 NM AWE. Distribuidor autorizado en Colombia. Solicite su cotización con Technofood.</v>
      </c>
    </row>
    <row r="9" customFormat="false" ht="23.85" hidden="false" customHeight="false" outlineLevel="0" collapsed="false">
      <c r="A9" s="8" t="str">
        <f aca="false">Productos!A9</f>
        <v>dispositivo-para-lavado-y-desinfeccion-de-manos-551301</v>
      </c>
      <c r="B9" s="9" t="str">
        <f aca="false">Productos!D9</f>
        <v>Dispositivo para Lavado y Desinfección de Manos 551301 AWE</v>
      </c>
      <c r="C9" s="9" t="str">
        <f aca="false">Productos!E9</f>
        <v>Dispositivo para Lavado y Desinfección de Manos 551301 AWE</v>
      </c>
      <c r="D9" s="9" t="str">
        <f aca="false">Productos!H9</f>
        <v>Dispositivo para Lavado y Desinfección de Manos 551301 AWE. Distribuidor autorizado en Colombia. Solicite su cotización con Technofood.</v>
      </c>
    </row>
    <row r="10" customFormat="false" ht="23.85" hidden="false" customHeight="false" outlineLevel="0" collapsed="false">
      <c r="A10" s="8" t="str">
        <f aca="false">Productos!A10</f>
        <v>estacion-de-acceso-para-higiene-de-manos-cleangate-551404</v>
      </c>
      <c r="B10" s="9" t="str">
        <f aca="false">Productos!D10</f>
        <v>Estación de Acceso para Higiene de Manos Cleangate 551404 AWE</v>
      </c>
      <c r="C10" s="9" t="str">
        <f aca="false">Productos!E10</f>
        <v>Estación Higiene de Manos Cleangate 551404 | AWE</v>
      </c>
      <c r="D10" s="9" t="str">
        <f aca="false">Productos!H10</f>
        <v>Estación de Higiene de Manos Cleangate 551404 AWE. Distribuidor autorizado en Colombia. Solicite su cotización con Technofood.</v>
      </c>
    </row>
    <row r="11" customFormat="false" ht="23.85" hidden="false" customHeight="false" outlineLevel="0" collapsed="false">
      <c r="A11" s="8" t="str">
        <f aca="false">Productos!A11</f>
        <v>lavabo-higienico-con-secador-de-manos-tip-531201</v>
      </c>
      <c r="B11" s="9" t="str">
        <f aca="false">Productos!D11</f>
        <v>Lavabo Higiénico con Secador de Manos TIP 531201 AWE</v>
      </c>
      <c r="C11" s="9" t="str">
        <f aca="false">Productos!E11</f>
        <v>Lavabo Higiénico con Secador de Manos TIP 531201 AWE</v>
      </c>
      <c r="D11" s="9" t="str">
        <f aca="false">Productos!H11</f>
        <v>Lavabo Higiénico con Secador de Manos TIP 531201 AWE. Distribuidor autorizado en Colombia. Solicite su cotización con Technofood.</v>
      </c>
    </row>
    <row r="12" customFormat="false" ht="23.85" hidden="false" customHeight="false" outlineLevel="0" collapsed="false">
      <c r="A12" s="8" t="str">
        <f aca="false">Productos!A12</f>
        <v>lavabo-higienico-mural-kleanox-531001b</v>
      </c>
      <c r="B12" s="9" t="str">
        <f aca="false">Productos!D12</f>
        <v>Lavabo Higiénico Mural Kleanox 531001B AWE</v>
      </c>
      <c r="C12" s="9" t="str">
        <f aca="false">Productos!E12</f>
        <v>Lavabo Higiénico Mural Kleanox 531001B AWE | Technofood</v>
      </c>
      <c r="D12" s="9" t="str">
        <f aca="false">Productos!H12</f>
        <v>Lavabo Higiénico Mural Kleanox 531001B AWE: equipo industrial. Distribuidor autorizado en Colombia. Solicite su cotización con un asesor de Technofood.</v>
      </c>
    </row>
    <row r="13" customFormat="false" ht="23.85" hidden="false" customHeight="false" outlineLevel="0" collapsed="false">
      <c r="A13" s="8" t="str">
        <f aca="false">Productos!A13</f>
        <v>lavadora-de-calzado-manual-scrubo-pro-550102</v>
      </c>
      <c r="B13" s="9" t="str">
        <f aca="false">Productos!D13</f>
        <v>Lavadora de Calzado Manual Scrubo Pro 550102 AWE</v>
      </c>
      <c r="C13" s="9" t="str">
        <f aca="false">Productos!E13</f>
        <v>Lavadora de Calzado Manual Scrubo Pro 550102 AWE</v>
      </c>
      <c r="D13" s="9" t="str">
        <f aca="false">Productos!H13</f>
        <v>Lavadora de Calzado Manual Scrubo Pro 550102 AWE. Distribuidor autorizado en Colombia. Solicite su cotización con Technofood.</v>
      </c>
    </row>
    <row r="14" customFormat="false" ht="23.85" hidden="false" customHeight="false" outlineLevel="0" collapsed="false">
      <c r="A14" s="8" t="str">
        <f aca="false">Productos!A14</f>
        <v>lavadora-industrial-big-max</v>
      </c>
      <c r="B14" s="9" t="str">
        <f aca="false">Productos!D14</f>
        <v>Lavadora Industrial Big Max AWE</v>
      </c>
      <c r="C14" s="9" t="str">
        <f aca="false">Productos!E14</f>
        <v>Lavadora Industrial Big Max AWE | Technofood Colombia</v>
      </c>
      <c r="D14" s="9" t="str">
        <f aca="false">Productos!H14</f>
        <v>Lavadora Industrial Big Max AWE: equipo industrial. Distribuidor autorizado en Colombia. Solicite su cotización con un asesor de Technofood.</v>
      </c>
    </row>
    <row r="15" customFormat="false" ht="23.85" hidden="false" customHeight="false" outlineLevel="0" collapsed="false">
      <c r="A15" s="8" t="str">
        <f aca="false">Productos!A15</f>
        <v>limpiador-de-suelas-de-zapatos-solematic-550201m</v>
      </c>
      <c r="B15" s="9" t="str">
        <f aca="false">Productos!D15</f>
        <v>Limpiador de Suelas de Zapatos Solematic 550201M AWE</v>
      </c>
      <c r="C15" s="9" t="str">
        <f aca="false">Productos!E15</f>
        <v>Limpiador de Suelas de Zapatos Solematic 550201M AWE</v>
      </c>
      <c r="D15" s="9" t="str">
        <f aca="false">Productos!H15</f>
        <v>Limpiador de Suelas de Zapatos Solematic 550201M AWE. Distribuidor autorizado en Colombia. Solicite su cotización con Technofood.</v>
      </c>
    </row>
    <row r="16" customFormat="false" ht="23.85" hidden="false" customHeight="false" outlineLevel="0" collapsed="false">
      <c r="A16" s="8" t="str">
        <f aca="false">Productos!A16</f>
        <v>limpiador-de-suelas-milkyway-55030-lt-f2</v>
      </c>
      <c r="B16" s="9" t="str">
        <f aca="false">Productos!D16</f>
        <v>Limpiador de Suelas Milkyway 55030 LT-F2 AWE</v>
      </c>
      <c r="C16" s="9" t="str">
        <f aca="false">Productos!E16</f>
        <v>Limpiador de Suelas Milkyway 55030 LT-F2 AWE | Technofood</v>
      </c>
      <c r="D16" s="9" t="str">
        <f aca="false">Productos!H16</f>
        <v>Limpiador de Suelas Milkyway 55030 LT-F2 AWE: equipo industrial. Distribuidor autorizado en Colombia. Solicite su cotización con un asesor de Technofood.</v>
      </c>
    </row>
    <row r="17" customFormat="false" ht="23.85" hidden="false" customHeight="false" outlineLevel="0" collapsed="false">
      <c r="A17" s="8" t="str">
        <f aca="false">Productos!A17</f>
        <v>clasificadora-de-pollo-656</v>
      </c>
      <c r="B17" s="9" t="str">
        <f aca="false">Productos!D17</f>
        <v>Clasificadora de Pollo 656 Baader</v>
      </c>
      <c r="C17" s="9" t="str">
        <f aca="false">Productos!E17</f>
        <v>Clasificadora de Pollo 656 Baader | Technofood Colombia</v>
      </c>
      <c r="D17" s="9" t="str">
        <f aca="false">Productos!H17</f>
        <v>Clasificadora de Pollo 656 Baader: equipo industrial. Distribuidor autorizado en Colombia. Solicite su cotización con un asesor de Technofood.</v>
      </c>
    </row>
    <row r="18" customFormat="false" ht="23.85" hidden="false" customHeight="false" outlineLevel="0" collapsed="false">
      <c r="A18" s="8" t="str">
        <f aca="false">Productos!A18</f>
        <v>despieladora-baader-240</v>
      </c>
      <c r="B18" s="9" t="str">
        <f aca="false">Productos!D18</f>
        <v>Despieladora Baader 240</v>
      </c>
      <c r="C18" s="9" t="str">
        <f aca="false">Productos!E18</f>
        <v>Despieladora Baader 240 | Technofood Colombia</v>
      </c>
      <c r="D18" s="9" t="str">
        <f aca="false">Productos!H18</f>
        <v>Despieladora Baader 240: equipo industrial para la industria de alimentos. Distribuidor autorizado en Colombia. Solicite su cotización con Technofood.</v>
      </c>
    </row>
    <row r="19" customFormat="false" ht="23.85" hidden="false" customHeight="false" outlineLevel="0" collapsed="false">
      <c r="A19" s="8" t="str">
        <f aca="false">Productos!A19</f>
        <v>desplumadora</v>
      </c>
      <c r="B19" s="9" t="str">
        <f aca="false">Productos!D19</f>
        <v>Desplumadora Baader</v>
      </c>
      <c r="C19" s="9" t="str">
        <f aca="false">Productos!E19</f>
        <v>Desplumadora Baader | Technofood Colombia</v>
      </c>
      <c r="D19" s="9" t="str">
        <f aca="false">Productos!H19</f>
        <v>Desplumadora Baader: equipo industrial para la industria de alimentos. Distribuidor autorizado en Colombia. Solicite su cotización con Technofood.</v>
      </c>
    </row>
    <row r="20" customFormat="false" ht="23.85" hidden="false" customHeight="false" outlineLevel="0" collapsed="false">
      <c r="A20" s="8" t="str">
        <f aca="false">Productos!A20</f>
        <v>eviscerador-142</v>
      </c>
      <c r="B20" s="9" t="str">
        <f aca="false">Productos!D20</f>
        <v>Eviscerador 142 Baader</v>
      </c>
      <c r="C20" s="9" t="str">
        <f aca="false">Productos!E20</f>
        <v>Eviscerador 142 Baader | Technofood Colombia</v>
      </c>
      <c r="D20" s="9" t="str">
        <f aca="false">Productos!H20</f>
        <v>Eviscerador 142 Baader: equipo industrial para la industria de alimentos. Distribuidor autorizado en Colombia. Solicite su cotización con Technofood.</v>
      </c>
    </row>
    <row r="21" customFormat="false" ht="23.85" hidden="false" customHeight="false" outlineLevel="0" collapsed="false">
      <c r="A21" s="8" t="str">
        <f aca="false">Productos!A21</f>
        <v>cyclone-skynner</v>
      </c>
      <c r="B21" s="9" t="str">
        <f aca="false">Productos!D21</f>
        <v>Cyclone Skynner Bettcher</v>
      </c>
      <c r="C21" s="9" t="str">
        <f aca="false">Productos!E21</f>
        <v>Cyclone Skynner Bettcher | Technofood Colombia</v>
      </c>
      <c r="D21" s="9" t="str">
        <f aca="false">Productos!H21</f>
        <v>Cyclone Skynner Bettcher: equipo industrial para la industria de alimentos. Distribuidor autorizado en Colombia. Solicite su cotización con Technofood.</v>
      </c>
    </row>
    <row r="22" customFormat="false" ht="23.85" hidden="false" customHeight="false" outlineLevel="0" collapsed="false">
      <c r="A22" s="8" t="str">
        <f aca="false">Productos!A22</f>
        <v>empunadura-quantum-flex-grande</v>
      </c>
      <c r="B22" s="9" t="str">
        <f aca="false">Productos!D22</f>
        <v>Empuñadura Quantum Flex Grande Bettcher</v>
      </c>
      <c r="C22" s="9" t="str">
        <f aca="false">Productos!E22</f>
        <v>Empuñadura Quantum Flex Grande Bettcher | Technofood</v>
      </c>
      <c r="D22" s="9" t="str">
        <f aca="false">Productos!H22</f>
        <v>Empuñadura Quantum Flex Grande Bettcher: equipo industrial. Distribuidor autorizado en Colombia. Solicite su cotización con un asesor de Technofood.</v>
      </c>
    </row>
    <row r="23" customFormat="false" ht="23.85" hidden="false" customHeight="false" outlineLevel="0" collapsed="false">
      <c r="A23" s="8" t="str">
        <f aca="false">Productos!A23</f>
        <v>empunadura-quantum-flex-mediana</v>
      </c>
      <c r="B23" s="9" t="str">
        <f aca="false">Productos!D23</f>
        <v>Empuñadura Quantum Flex Mediana Bettcher</v>
      </c>
      <c r="C23" s="9" t="str">
        <f aca="false">Productos!E23</f>
        <v>Empuñadura Quantum Flex Mediana Bettcher | Technofood</v>
      </c>
      <c r="D23" s="9" t="str">
        <f aca="false">Productos!H23</f>
        <v>Empuñadura Quantum Flex Mediana Bettcher: equipo industrial. Distribuidor autorizado en Colombia. Solicite su cotización con un asesor de Technofood.</v>
      </c>
    </row>
    <row r="24" customFormat="false" ht="23.85" hidden="false" customHeight="false" outlineLevel="0" collapsed="false">
      <c r="A24" s="8" t="str">
        <f aca="false">Productos!A24</f>
        <v>empunadura-quantum-flex-pequena</v>
      </c>
      <c r="B24" s="9" t="str">
        <f aca="false">Productos!D24</f>
        <v>Empuñadura Quantum Flex Pequeña Bettcher</v>
      </c>
      <c r="C24" s="9" t="str">
        <f aca="false">Productos!E24</f>
        <v>Empuñadura Quantum Flex Pequeña Bettcher | Technofood</v>
      </c>
      <c r="D24" s="9" t="str">
        <f aca="false">Productos!H24</f>
        <v>Empuñadura Quantum Flex Pequeña Bettcher: equipo industrial. Distribuidor autorizado en Colombia. Solicite su cotización con un asesor de Technofood.</v>
      </c>
    </row>
    <row r="25" customFormat="false" ht="23.85" hidden="false" customHeight="false" outlineLevel="0" collapsed="false">
      <c r="A25" s="8" t="str">
        <f aca="false">Productos!A25</f>
        <v>motor-impulsor-universal-un-84</v>
      </c>
      <c r="B25" s="9" t="str">
        <f aca="false">Productos!D25</f>
        <v>Motor Impulsor Universal UN 84 Bettcher</v>
      </c>
      <c r="C25" s="9" t="str">
        <f aca="false">Productos!E25</f>
        <v>Motor Impulsor Universal UN 84 Bettcher | Technofood</v>
      </c>
      <c r="D25" s="9" t="str">
        <f aca="false">Productos!H25</f>
        <v>Motor Impulsor Universal UN 84 Bettcher: equipo industrial. Distribuidor autorizado en Colombia. Solicite su cotización con un asesor de Technofood.</v>
      </c>
    </row>
    <row r="26" customFormat="false" ht="23.85" hidden="false" customHeight="false" outlineLevel="0" collapsed="false">
      <c r="A26" s="8" t="str">
        <f aca="false">Productos!A26</f>
        <v>motor-quantum</v>
      </c>
      <c r="B26" s="9" t="str">
        <f aca="false">Productos!D26</f>
        <v>Motor Quantum Bettcher</v>
      </c>
      <c r="C26" s="9" t="str">
        <f aca="false">Productos!E26</f>
        <v>Motor Quantum Bettcher | Technofood Colombia</v>
      </c>
      <c r="D26" s="9" t="str">
        <f aca="false">Productos!H26</f>
        <v>Motor Quantum Bettcher: equipo industrial para la industria de alimentos. Distribuidor autorizado en Colombia. Solicite su cotización con Technofood.</v>
      </c>
    </row>
    <row r="27" customFormat="false" ht="23.85" hidden="false" customHeight="false" outlineLevel="0" collapsed="false">
      <c r="A27" s="8" t="str">
        <f aca="false">Productos!A27</f>
        <v>recortadora-whizard-versa</v>
      </c>
      <c r="B27" s="9" t="str">
        <f aca="false">Productos!D27</f>
        <v>Recortadora Whizard Versa Bettcher</v>
      </c>
      <c r="C27" s="9" t="str">
        <f aca="false">Productos!E27</f>
        <v>Recortadora Whizard Versa Bettcher | Technofood Colombia</v>
      </c>
      <c r="D27" s="9" t="str">
        <f aca="false">Productos!H27</f>
        <v>Recortadora Whizard Versa Bettcher: equipo industrial. Distribuidor autorizado en Colombia. Solicite su cotización con un asesor de Technofood.</v>
      </c>
    </row>
    <row r="28" customFormat="false" ht="23.85" hidden="false" customHeight="false" outlineLevel="0" collapsed="false">
      <c r="A28" s="8" t="str">
        <f aca="false">Productos!A28</f>
        <v>trimvac-flex-quantum</v>
      </c>
      <c r="B28" s="9" t="str">
        <f aca="false">Productos!D28</f>
        <v>Trimvac Flex Quantum Bettcher</v>
      </c>
      <c r="C28" s="9" t="str">
        <f aca="false">Productos!E28</f>
        <v>Trimvac Flex Quantum Bettcher | Technofood Colombia</v>
      </c>
      <c r="D28" s="9" t="str">
        <f aca="false">Productos!H28</f>
        <v>Trimvac Flex Quantum Bettcher: equipo industrial. Distribuidor autorizado en Colombia. Solicite su cotización con un asesor de Technofood.</v>
      </c>
    </row>
    <row r="29" customFormat="false" ht="23.85" hidden="false" customHeight="false" outlineLevel="0" collapsed="false">
      <c r="A29" s="8" t="str">
        <f aca="false">Productos!A29</f>
        <v>recortador-rectal-efa-202</v>
      </c>
      <c r="B29" s="9" t="str">
        <f aca="false">Productos!D29</f>
        <v>Recortador Rectal EFA 202</v>
      </c>
      <c r="C29" s="9" t="str">
        <f aca="false">Productos!E29</f>
        <v>Recortador Rectal EFA 202 | Technofood Colombia</v>
      </c>
      <c r="D29" s="9" t="str">
        <f aca="false">Productos!H29</f>
        <v>Recortador Rectal EFA 202: equipo industrial para la industria de alimentos. Distribuidor autorizado en Colombia. Solicite su cotización con Technofood.</v>
      </c>
    </row>
    <row r="30" customFormat="false" ht="23.85" hidden="false" customHeight="false" outlineLevel="0" collapsed="false">
      <c r="A30" s="8" t="str">
        <f aca="false">Productos!A30</f>
        <v>recortadora-efa-90d</v>
      </c>
      <c r="B30" s="9" t="str">
        <f aca="false">Productos!D30</f>
        <v>Recortadora EFA 90D</v>
      </c>
      <c r="C30" s="9" t="str">
        <f aca="false">Productos!E30</f>
        <v>Recortadora EFA 90D | Technofood Colombia</v>
      </c>
      <c r="D30" s="9" t="str">
        <f aca="false">Productos!H30</f>
        <v>Recortadora EFA 90D: equipo industrial para la industria de alimentos. Distribuidor autorizado en Colombia. Solicite su cotización con Technofood.</v>
      </c>
    </row>
    <row r="31" customFormat="false" ht="23.85" hidden="false" customHeight="false" outlineLevel="0" collapsed="false">
      <c r="A31" s="8" t="str">
        <f aca="false">Productos!A31</f>
        <v>sierra-bisectriz-efa-sb-327-e</v>
      </c>
      <c r="B31" s="9" t="str">
        <f aca="false">Productos!D31</f>
        <v>Sierra Bisectriz EFA SB 327 e</v>
      </c>
      <c r="C31" s="9" t="str">
        <f aca="false">Productos!E31</f>
        <v>Sierra Bisectriz EFA SB 327 e | Technofood Colombia</v>
      </c>
      <c r="D31" s="9" t="str">
        <f aca="false">Productos!H31</f>
        <v>Sierra Bisectriz EFA SB 327 e: equipo industrial. Distribuidor autorizado en Colombia. Solicite su cotización con un asesor de Technofood.</v>
      </c>
    </row>
    <row r="32" customFormat="false" ht="23.85" hidden="false" customHeight="false" outlineLevel="0" collapsed="false">
      <c r="A32" s="8" t="str">
        <f aca="false">Productos!A32</f>
        <v>sierra-para-desposte-efa-86</v>
      </c>
      <c r="B32" s="9" t="str">
        <f aca="false">Productos!D32</f>
        <v>Sierra para Desposte EFA 86</v>
      </c>
      <c r="C32" s="9" t="str">
        <f aca="false">Productos!E32</f>
        <v>Sierra para Desposte EFA 86 | Technofood Colombia</v>
      </c>
      <c r="D32" s="9" t="str">
        <f aca="false">Productos!H32</f>
        <v>Sierra para Desposte EFA 86: equipo industrial para la industria de alimentos. Distribuidor autorizado en Colombia. Solicite su cotización con Technofood.</v>
      </c>
    </row>
    <row r="33" customFormat="false" ht="23.85" hidden="false" customHeight="false" outlineLevel="0" collapsed="false">
      <c r="A33" s="8" t="str">
        <f aca="false">Productos!A33</f>
        <v>sierra-para-hueso-efa-sk-16-8-d</v>
      </c>
      <c r="B33" s="9" t="str">
        <f aca="false">Productos!D33</f>
        <v>Sierra para Hueso EFA SK 16-8 D</v>
      </c>
      <c r="C33" s="9" t="str">
        <f aca="false">Productos!E33</f>
        <v>Sierra para Hueso EFA SK 16-8 D | Technofood Colombia</v>
      </c>
      <c r="D33" s="9" t="str">
        <f aca="false">Productos!H33</f>
        <v>Sierra para Hueso EFA SK 16-8 D: equipo industrial. Distribuidor autorizado en Colombia. Solicite su cotización con un asesor de Technofood.</v>
      </c>
    </row>
    <row r="34" customFormat="false" ht="23.85" hidden="false" customHeight="false" outlineLevel="0" collapsed="false">
      <c r="A34" s="8" t="str">
        <f aca="false">Productos!A34</f>
        <v>etiquetadora-automatica-peso-precio-nova-es-b</v>
      </c>
      <c r="B34" s="9" t="str">
        <f aca="false">Productos!D34</f>
        <v>Etiquetadora Automática Peso Precio Nova ES-B Espera</v>
      </c>
      <c r="C34" s="9" t="str">
        <f aca="false">Productos!E34</f>
        <v>Etiquetadora Automática Peso Precio Nova ES-B Espera</v>
      </c>
      <c r="D34" s="9" t="str">
        <f aca="false">Productos!H34</f>
        <v>Etiquetadora Automática Peso Precio Nova ES-B Espera. Distribuidor autorizado en Colombia. Solicite su cotización con Technofood.</v>
      </c>
    </row>
    <row r="35" customFormat="false" ht="23.85" hidden="false" customHeight="false" outlineLevel="0" collapsed="false">
      <c r="A35" s="8" t="str">
        <f aca="false">Productos!A35</f>
        <v>etiquetadora-automatica-peso-precio-nova-es-r</v>
      </c>
      <c r="B35" s="9" t="str">
        <f aca="false">Productos!D35</f>
        <v>Etiquetadora Automática Peso Precio Nova ES-R Espera</v>
      </c>
      <c r="C35" s="9" t="str">
        <f aca="false">Productos!E35</f>
        <v>Etiquetadora Automática Peso Precio Nova ES-R Espera</v>
      </c>
      <c r="D35" s="9" t="str">
        <f aca="false">Productos!H35</f>
        <v>Etiquetadora Automática Peso Precio Nova ES-R Espera. Distribuidor autorizado en Colombia. Solicite su cotización con Technofood.</v>
      </c>
    </row>
    <row r="36" customFormat="false" ht="23.85" hidden="false" customHeight="false" outlineLevel="0" collapsed="false">
      <c r="A36" s="8" t="str">
        <f aca="false">Productos!A36</f>
        <v>etiquetadora-peso-precio-es-5901</v>
      </c>
      <c r="B36" s="9" t="str">
        <f aca="false">Productos!D36</f>
        <v>Etiquetadora Peso Precio Es 5901 Espera</v>
      </c>
      <c r="C36" s="9" t="str">
        <f aca="false">Productos!E36</f>
        <v>Etiquetadora Peso Precio Es 5901 Espera | Technofood</v>
      </c>
      <c r="D36" s="9" t="str">
        <f aca="false">Productos!H36</f>
        <v>Etiquetadora Peso Precio Es 5901 Espera: equipo industrial. Distribuidor autorizado en Colombia. Solicite su cotización con un asesor de Technofood.</v>
      </c>
    </row>
    <row r="37" customFormat="false" ht="23.85" hidden="false" customHeight="false" outlineLevel="0" collapsed="false">
      <c r="A37" s="8" t="str">
        <f aca="false">Productos!A37</f>
        <v>sistema-de-etiquetado-automatico-peso-precio-nova-es-e</v>
      </c>
      <c r="B37" s="9" t="str">
        <f aca="false">Productos!D37</f>
        <v>Sistema de Etiquetado Automático Peso Precio Nova ES-E Espera</v>
      </c>
      <c r="C37" s="9" t="str">
        <f aca="false">Productos!E37</f>
        <v>Etiquetado Peso Precio Nova ES-E | Espera</v>
      </c>
      <c r="D37" s="9" t="str">
        <f aca="false">Productos!H37</f>
        <v>Sistema de Etiquetado Peso Precio Nova ES-E Espera. Distribuidor autorizado en Colombia. Solicite su cotización con Technofood.</v>
      </c>
    </row>
    <row r="38" customFormat="false" ht="23.85" hidden="false" customHeight="false" outlineLevel="0" collapsed="false">
      <c r="A38" s="8" t="str">
        <f aca="false">Productos!A38</f>
        <v>cortadora-de-salchichas-ws-420</v>
      </c>
      <c r="B38" s="9" t="str">
        <f aca="false">Productos!D38</f>
        <v>Cortadora de Salchichas WS 420 Frey</v>
      </c>
      <c r="C38" s="9" t="str">
        <f aca="false">Productos!E38</f>
        <v>Cortadora de Salchichas WS 420 Frey | Technofood Colombia</v>
      </c>
      <c r="D38" s="9" t="str">
        <f aca="false">Productos!H38</f>
        <v>Cortadora de Salchichas WS 420 Frey: equipo industrial. Distribuidor autorizado en Colombia. Solicite su cotización con un asesor de Technofood.</v>
      </c>
    </row>
    <row r="39" customFormat="false" ht="23.85" hidden="false" customHeight="false" outlineLevel="0" collapsed="false">
      <c r="A39" s="8" t="str">
        <f aca="false">Productos!A39</f>
        <v>dosificador-kk500</v>
      </c>
      <c r="B39" s="9" t="str">
        <f aca="false">Productos!D39</f>
        <v>Dosificador KK500 Frey</v>
      </c>
      <c r="C39" s="9" t="str">
        <f aca="false">Productos!E39</f>
        <v>Dosificador KK500 Frey | Technofood Colombia</v>
      </c>
      <c r="D39" s="9" t="str">
        <f aca="false">Productos!H39</f>
        <v>Dosificador KK500 Frey: equipo industrial para la industria de alimentos. Distribuidor autorizado en Colombia. Solicite su cotización con Technofood.</v>
      </c>
    </row>
    <row r="40" customFormat="false" ht="23.85" hidden="false" customHeight="false" outlineLevel="0" collapsed="false">
      <c r="A40" s="8" t="str">
        <f aca="false">Productos!A40</f>
        <v>embutidora-al-vacio-f-line-f222</v>
      </c>
      <c r="B40" s="9" t="str">
        <f aca="false">Productos!D40</f>
        <v>Embutidora al Vacío F-Line F222 Frey</v>
      </c>
      <c r="C40" s="9" t="str">
        <f aca="false">Productos!E40</f>
        <v>Embutidora al Vacío F-Line F222 Frey | Technofood Colombia</v>
      </c>
      <c r="D40" s="9" t="str">
        <f aca="false">Productos!H40</f>
        <v>Embutidora al Vacío F-Line F222 Frey: equipo industrial. Distribuidor autorizado en Colombia. Solicite su cotización con un asesor de Technofood.</v>
      </c>
    </row>
    <row r="41" customFormat="false" ht="23.85" hidden="false" customHeight="false" outlineLevel="0" collapsed="false">
      <c r="A41" s="8" t="str">
        <f aca="false">Productos!A41</f>
        <v>embutidora-al-vacio-f-line-f266</v>
      </c>
      <c r="B41" s="9" t="str">
        <f aca="false">Productos!D41</f>
        <v>Embutidora al Vacío F-Line F266 Frey</v>
      </c>
      <c r="C41" s="9" t="str">
        <f aca="false">Productos!E41</f>
        <v>Embutidora al Vacío F-Line F266 Frey | Technofood Colombia</v>
      </c>
      <c r="D41" s="9" t="str">
        <f aca="false">Productos!H41</f>
        <v>Embutidora al Vacío F-Line F266 Frey: equipo industrial. Distribuidor autorizado en Colombia. Solicite su cotización con un asesor de Technofood.</v>
      </c>
    </row>
    <row r="42" customFormat="false" ht="23.85" hidden="false" customHeight="false" outlineLevel="0" collapsed="false">
      <c r="A42" s="8" t="str">
        <f aca="false">Productos!A42</f>
        <v>embutidora-al-vacio-f-line-f60</v>
      </c>
      <c r="B42" s="9" t="str">
        <f aca="false">Productos!D42</f>
        <v>Embutidora al Vacío F-Line F60 Frey</v>
      </c>
      <c r="C42" s="9" t="str">
        <f aca="false">Productos!E42</f>
        <v>Embutidora al Vacío F-Line F60 Frey | Technofood Colombia</v>
      </c>
      <c r="D42" s="9" t="str">
        <f aca="false">Productos!H42</f>
        <v>Embutidora al Vacío F-Line F60 Frey: equipo industrial. Distribuidor autorizado en Colombia. Solicite su cotización con un asesor de Technofood.</v>
      </c>
    </row>
    <row r="43" customFormat="false" ht="23.85" hidden="false" customHeight="false" outlineLevel="0" collapsed="false">
      <c r="A43" s="8" t="str">
        <f aca="false">Productos!A43</f>
        <v>empanizadora-automatica-mod-compact</v>
      </c>
      <c r="B43" s="9" t="str">
        <f aca="false">Productos!D43</f>
        <v>Empanizadora Automática Mod. Compact Gaser</v>
      </c>
      <c r="C43" s="9" t="str">
        <f aca="false">Productos!E43</f>
        <v>Empanizadora Automática Mod. Compact Gaser | Technofood</v>
      </c>
      <c r="D43" s="9" t="str">
        <f aca="false">Productos!H43</f>
        <v>Empanizadora Automática Mod. Compact Gaser: equipo industrial. Distribuidor autorizado en Colombia. Solicite su cotización con un asesor de Technofood.</v>
      </c>
    </row>
    <row r="44" customFormat="false" ht="23.85" hidden="false" customHeight="false" outlineLevel="0" collapsed="false">
      <c r="A44" s="8" t="str">
        <f aca="false">Productos!A44</f>
        <v>formadora-automatica-de-hamburguesas-mod-v-3000-cp</v>
      </c>
      <c r="B44" s="9" t="str">
        <f aca="false">Productos!D44</f>
        <v>Formadora Automática de Hamburguesas Mod. V-3000 CP Gaser</v>
      </c>
      <c r="C44" s="9" t="str">
        <f aca="false">Productos!E44</f>
        <v>Formadora Automática de Hamburguesas Mod. V-3000 CP Gaser</v>
      </c>
      <c r="D44" s="9" t="str">
        <f aca="false">Productos!H44</f>
        <v>Formadora Automática de Hamburguesas Mod. V-3000 CP Gaser. Distribuidor autorizado en Colombia. Solicite su cotización con Technofood.</v>
      </c>
    </row>
    <row r="45" customFormat="false" ht="23.85" hidden="false" customHeight="false" outlineLevel="0" collapsed="false">
      <c r="A45" s="8" t="str">
        <f aca="false">Productos!A45</f>
        <v>descortezadora-ms520</v>
      </c>
      <c r="B45" s="9" t="str">
        <f aca="false">Productos!D45</f>
        <v>Descortezadora MS520 Grasselli</v>
      </c>
      <c r="C45" s="9" t="str">
        <f aca="false">Productos!E45</f>
        <v>Descortezadora MS520 Grasselli | Technofood Colombia</v>
      </c>
      <c r="D45" s="9" t="str">
        <f aca="false">Productos!H45</f>
        <v>Descortezadora MS520 Grasselli: equipo industrial. Distribuidor autorizado en Colombia. Solicite su cotización con un asesor de Technofood.</v>
      </c>
    </row>
    <row r="46" customFormat="false" ht="23.85" hidden="false" customHeight="false" outlineLevel="0" collapsed="false">
      <c r="A46" s="8" t="str">
        <f aca="false">Productos!A46</f>
        <v>descortezadora-nab520</v>
      </c>
      <c r="B46" s="9" t="str">
        <f aca="false">Productos!D46</f>
        <v>Descortezadora NAB520 Grasselli</v>
      </c>
      <c r="C46" s="9" t="str">
        <f aca="false">Productos!E46</f>
        <v>Descortezadora NAB520 Grasselli | Technofood Colombia</v>
      </c>
      <c r="D46" s="9" t="str">
        <f aca="false">Productos!H46</f>
        <v>Descortezadora NAB520 Grasselli: equipo industrial. Distribuidor autorizado en Colombia. Solicite su cotización con un asesor de Technofood.</v>
      </c>
    </row>
    <row r="47" customFormat="false" ht="23.85" hidden="false" customHeight="false" outlineLevel="0" collapsed="false">
      <c r="A47" s="8" t="str">
        <f aca="false">Productos!A47</f>
        <v>fileteadora-horizontal-ksl</v>
      </c>
      <c r="B47" s="9" t="str">
        <f aca="false">Productos!D47</f>
        <v>Fileteadora Horizontal KSL Grasselli</v>
      </c>
      <c r="C47" s="9" t="str">
        <f aca="false">Productos!E47</f>
        <v>Fileteadora Horizontal KSL Grasselli | Technofood Colombia</v>
      </c>
      <c r="D47" s="9" t="str">
        <f aca="false">Productos!H47</f>
        <v>Fileteadora Horizontal KSL Grasselli: equipo industrial. Distribuidor autorizado en Colombia. Solicite su cotización con un asesor de Technofood.</v>
      </c>
    </row>
    <row r="48" customFormat="false" ht="23.85" hidden="false" customHeight="false" outlineLevel="0" collapsed="false">
      <c r="A48" s="8" t="str">
        <f aca="false">Productos!A48</f>
        <v>cortadora-de-queso-cheesixx</v>
      </c>
      <c r="B48" s="9" t="str">
        <f aca="false">Productos!D48</f>
        <v>Cortadora de Queso Cheesixx Holac</v>
      </c>
      <c r="C48" s="9" t="str">
        <f aca="false">Productos!E48</f>
        <v>Cortadora de Queso Cheesixx Holac | Technofood Colombia</v>
      </c>
      <c r="D48" s="9" t="str">
        <f aca="false">Productos!H48</f>
        <v>Cortadora de Queso Cheesixx Holac: equipo industrial. Distribuidor autorizado en Colombia. Solicite su cotización con un asesor de Technofood.</v>
      </c>
    </row>
    <row r="49" customFormat="false" ht="23.85" hidden="false" customHeight="false" outlineLevel="0" collapsed="false">
      <c r="A49" s="8" t="str">
        <f aca="false">Productos!A49</f>
        <v>cubicadora-cubixx-100</v>
      </c>
      <c r="B49" s="9" t="str">
        <f aca="false">Productos!D49</f>
        <v>Cubicadora Cubixx 100 Holac</v>
      </c>
      <c r="C49" s="9" t="str">
        <f aca="false">Productos!E49</f>
        <v>Cubicadora Cubixx 100 Holac | Technofood Colombia</v>
      </c>
      <c r="D49" s="9" t="str">
        <f aca="false">Productos!H49</f>
        <v>Cubicadora Cubixx 100 Holac: equipo industrial para la industria de alimentos. Distribuidor autorizado en Colombia. Solicite su cotización con Technofood.</v>
      </c>
    </row>
    <row r="50" customFormat="false" ht="23.85" hidden="false" customHeight="false" outlineLevel="0" collapsed="false">
      <c r="A50" s="8" t="str">
        <f aca="false">Productos!A50</f>
        <v>rebanadora-sect-230</v>
      </c>
      <c r="B50" s="9" t="str">
        <f aca="false">Productos!D50</f>
        <v>Rebanadora Sect 230 Holac</v>
      </c>
      <c r="C50" s="9" t="str">
        <f aca="false">Productos!E50</f>
        <v>Rebanadora Sect 230 Holac | Technofood Colombia</v>
      </c>
      <c r="D50" s="9" t="str">
        <f aca="false">Productos!H50</f>
        <v>Rebanadora Sect 230 Holac: equipo industrial para la industria de alimentos. Distribuidor autorizado en Colombia. Solicite su cotización con Technofood.</v>
      </c>
    </row>
    <row r="51" customFormat="false" ht="23.85" hidden="false" customHeight="false" outlineLevel="0" collapsed="false">
      <c r="A51" s="8" t="str">
        <f aca="false">Productos!A51</f>
        <v>carrete-de-clips-para-embutidos</v>
      </c>
      <c r="B51" s="9" t="str">
        <f aca="false">Productos!D51</f>
        <v>Carrete de Clips para Embutidos International Clip</v>
      </c>
      <c r="C51" s="9" t="str">
        <f aca="false">Productos!E51</f>
        <v>Carrete de Clips para Embutidos International Clip</v>
      </c>
      <c r="D51" s="9" t="str">
        <f aca="false">Productos!H51</f>
        <v>Carrete de Clips para Embutidos International Clip. Distribuidor autorizado en Colombia. Solicite su cotización con Technofood.</v>
      </c>
    </row>
    <row r="52" customFormat="false" ht="23.85" hidden="false" customHeight="false" outlineLevel="0" collapsed="false">
      <c r="A52" s="8" t="str">
        <f aca="false">Productos!A52</f>
        <v>clipadora-ic-18-15</v>
      </c>
      <c r="B52" s="9" t="str">
        <f aca="false">Productos!D52</f>
        <v>Clipadora IC 18-15 International Clip</v>
      </c>
      <c r="C52" s="9" t="str">
        <f aca="false">Productos!E52</f>
        <v>Clipadora IC 18-15 International Clip | Technofood Colombia</v>
      </c>
      <c r="D52" s="9" t="str">
        <f aca="false">Productos!H52</f>
        <v>Clipadora IC 18-15 International Clip: equipo industrial. Distribuidor autorizado en Colombia. Solicite su cotización con un asesor de Technofood.</v>
      </c>
    </row>
    <row r="53" customFormat="false" ht="23.85" hidden="false" customHeight="false" outlineLevel="0" collapsed="false">
      <c r="A53" s="8" t="str">
        <f aca="false">Productos!A53</f>
        <v>clipadora-individual-de-bancada-ic-700s</v>
      </c>
      <c r="B53" s="9" t="str">
        <f aca="false">Productos!D53</f>
        <v>Clipadora Individual de Bancada IC 700S International Clip</v>
      </c>
      <c r="C53" s="9" t="str">
        <f aca="false">Productos!E53</f>
        <v>Clipadora Individual de Bancada IC 700S International Clip</v>
      </c>
      <c r="D53" s="9" t="str">
        <f aca="false">Productos!H53</f>
        <v>Clipadora Individual de Bancada IC 700S International Clip. Distribuidor autorizado en Colombia. Solicite su cotización con Technofood.</v>
      </c>
    </row>
    <row r="54" customFormat="false" ht="23.85" hidden="false" customHeight="false" outlineLevel="0" collapsed="false">
      <c r="A54" s="8" t="str">
        <f aca="false">Productos!A54</f>
        <v>clips-en-forma-de-s</v>
      </c>
      <c r="B54" s="9" t="str">
        <f aca="false">Productos!D54</f>
        <v>Clips en Forma de S International Clip</v>
      </c>
      <c r="C54" s="9" t="str">
        <f aca="false">Productos!E54</f>
        <v>Clips en Forma de S International Clip | Technofood Colombia</v>
      </c>
      <c r="D54" s="9" t="str">
        <f aca="false">Productos!H54</f>
        <v>Clips en Forma de S International Clip: insumo industrial. Distribuidor autorizado en Colombia. Solicite su cotización con un asesor de Technofood.</v>
      </c>
    </row>
    <row r="55" customFormat="false" ht="23.85" hidden="false" customHeight="false" outlineLevel="0" collapsed="false">
      <c r="A55" s="8" t="str">
        <f aca="false">Productos!A55</f>
        <v>maquina-de-envasado-al-vacio-de-camara-sencilla-j-v006w</v>
      </c>
      <c r="B55" s="9" t="str">
        <f aca="false">Productos!D55</f>
        <v>Máquina de Envasado al Vacío de Cámara Sencilla J-V006W Jaw Feng</v>
      </c>
      <c r="C55" s="9" t="str">
        <f aca="false">Productos!E55</f>
        <v>Envasadora al Vacío Cámara Sencilla J-V006W | Jaw Feng</v>
      </c>
      <c r="D55" s="9" t="str">
        <f aca="false">Productos!H55</f>
        <v>Envasadora al Vacío de Cámara Sencilla J-V006W Jaw Feng. Distribuidor autorizado en Colombia. Solicite su cotización con Technofood.</v>
      </c>
    </row>
    <row r="56" customFormat="false" ht="23.85" hidden="false" customHeight="false" outlineLevel="0" collapsed="false">
      <c r="A56" s="8" t="str">
        <f aca="false">Productos!A56</f>
        <v>maquina-de-envasado-al-vacio-de-doble-camara-automatica-j-v013a</v>
      </c>
      <c r="B56" s="9" t="str">
        <f aca="false">Productos!D56</f>
        <v>Máquina de Envasado al Vacío de Doble Cámara Automática J-V013A Jaw Feng</v>
      </c>
      <c r="C56" s="9" t="str">
        <f aca="false">Productos!E56</f>
        <v>Envasadora al Vacío Doble Cámara J-V013A | Jaw Feng</v>
      </c>
      <c r="D56" s="9" t="str">
        <f aca="false">Productos!H56</f>
        <v>Envasadora al Vacío de Doble Cámara J-V013A Jaw Feng. Distribuidor autorizado en Colombia. Solicite su cotización con Technofood.</v>
      </c>
    </row>
    <row r="57" customFormat="false" ht="23.85" hidden="false" customHeight="false" outlineLevel="0" collapsed="false">
      <c r="A57" s="8" t="str">
        <f aca="false">Productos!A57</f>
        <v>maquina-de-envasado-al-vacio-de-sobremesa-j-v002</v>
      </c>
      <c r="B57" s="9" t="str">
        <f aca="false">Productos!D57</f>
        <v>Máquina de Envasado al Vacío de Sobremesa J-V002 Jaw Feng</v>
      </c>
      <c r="C57" s="9" t="str">
        <f aca="false">Productos!E57</f>
        <v>Máquina de Envasado al Vacío de Sobremesa J-V002 Jaw Feng</v>
      </c>
      <c r="D57" s="9" t="str">
        <f aca="false">Productos!H57</f>
        <v>Máquina de Envasado al Vacío de Sobremesa J-V002 Jaw Feng. Distribuidor autorizado en Colombia. Solicite su cotización con Technofood.</v>
      </c>
    </row>
    <row r="58" customFormat="false" ht="23.85" hidden="false" customHeight="false" outlineLevel="0" collapsed="false">
      <c r="A58" s="8" t="str">
        <f aca="false">Productos!A58</f>
        <v>termoselladora-de-bandejas-semiautomatica-con-vacio-y-envasado-a-gas-j-v053a</v>
      </c>
      <c r="B58" s="9" t="str">
        <f aca="false">Productos!D58</f>
        <v>Termoselladora de Bandejas Semiautomática con Vacío y Envasado a Gas J-V053A Jaw Feng</v>
      </c>
      <c r="C58" s="9" t="str">
        <f aca="false">Productos!E58</f>
        <v>Termoselladora de Bandejas J-V053A | Jaw Feng</v>
      </c>
      <c r="D58" s="9" t="str">
        <f aca="false">Productos!H58</f>
        <v>Termoselladora de Bandejas J-V053A Jaw Feng: insumo industrial. Distribuidor autorizado en Colombia. Solicite su cotización con un asesor de Technofood.</v>
      </c>
    </row>
    <row r="59" customFormat="false" ht="23.85" hidden="false" customHeight="false" outlineLevel="0" collapsed="false">
      <c r="A59" s="8" t="str">
        <f aca="false">Productos!A59</f>
        <v>separador-de-carne-y-hueso-gama-s</v>
      </c>
      <c r="B59" s="9" t="str">
        <f aca="false">Productos!D59</f>
        <v>Separador de Carne y Hueso Gama S Lima</v>
      </c>
      <c r="C59" s="9" t="str">
        <f aca="false">Productos!E59</f>
        <v>Separador de Carne y Hueso Gama S Lima | Technofood Colombia</v>
      </c>
      <c r="D59" s="9" t="str">
        <f aca="false">Productos!H59</f>
        <v>Separador de Carne y Hueso Gama S Lima: equipo industrial. Distribuidor autorizado en Colombia. Solicite su cotización con un asesor de Technofood.</v>
      </c>
    </row>
    <row r="60" customFormat="false" ht="23.85" hidden="false" customHeight="false" outlineLevel="0" collapsed="false">
      <c r="A60" s="8" t="str">
        <f aca="false">Productos!A60</f>
        <v>separador-de-carne-y-hueso-rm-390s</v>
      </c>
      <c r="B60" s="9" t="str">
        <f aca="false">Productos!D60</f>
        <v>Separador de Carne y Hueso Rm 390S Lima</v>
      </c>
      <c r="C60" s="9" t="str">
        <f aca="false">Productos!E60</f>
        <v>Separador de Carne y Hueso Rm 390S Lima | Technofood</v>
      </c>
      <c r="D60" s="9" t="str">
        <f aca="false">Productos!H60</f>
        <v>Separador de Carne y Hueso Rm 390S Lima: equipo industrial. Distribuidor autorizado en Colombia. Solicite su cotización con un asesor de Technofood.</v>
      </c>
    </row>
    <row r="61" customFormat="false" ht="23.85" hidden="false" customHeight="false" outlineLevel="0" collapsed="false">
      <c r="A61" s="8" t="str">
        <f aca="false">Productos!A61</f>
        <v>separador-de-carne-y-hueso-rm-90s</v>
      </c>
      <c r="B61" s="9" t="str">
        <f aca="false">Productos!D61</f>
        <v>Separador de Carne y Hueso Rm 90S Lima</v>
      </c>
      <c r="C61" s="9" t="str">
        <f aca="false">Productos!E61</f>
        <v>Separador de Carne y Hueso Rm 90S Lima | Technofood Colombia</v>
      </c>
      <c r="D61" s="9" t="str">
        <f aca="false">Productos!H61</f>
        <v>Separador de Carne y Hueso Rm 90S Lima: equipo industrial. Distribuidor autorizado en Colombia. Solicite su cotización con un asesor de Technofood.</v>
      </c>
    </row>
    <row r="62" customFormat="false" ht="23.85" hidden="false" customHeight="false" outlineLevel="0" collapsed="false">
      <c r="A62" s="8" t="str">
        <f aca="false">Productos!A62</f>
        <v>inyectora-de-salmuera-hpi-450</v>
      </c>
      <c r="B62" s="9" t="str">
        <f aca="false">Productos!D62</f>
        <v>Inyectora de Salmuera Hpi 450 Maku</v>
      </c>
      <c r="C62" s="9" t="str">
        <f aca="false">Productos!E62</f>
        <v>Inyectora de Salmuera Hpi 450 Maku | Technofood Colombia</v>
      </c>
      <c r="D62" s="9" t="str">
        <f aca="false">Productos!H62</f>
        <v>Inyectora de Salmuera Hpi 450 Maku: equipo industrial. Distribuidor autorizado en Colombia. Solicite su cotización con un asesor de Technofood.</v>
      </c>
    </row>
    <row r="63" customFormat="false" ht="23.85" hidden="false" customHeight="false" outlineLevel="0" collapsed="false">
      <c r="A63" s="8" t="str">
        <f aca="false">Productos!A63</f>
        <v>mezcladora-de-salmuera-hvm</v>
      </c>
      <c r="B63" s="9" t="str">
        <f aca="false">Productos!D63</f>
        <v>Mezcladora de Salmuera HVM Maku</v>
      </c>
      <c r="C63" s="9" t="str">
        <f aca="false">Productos!E63</f>
        <v>Mezcladora de Salmuera HVM Maku | Technofood Colombia</v>
      </c>
      <c r="D63" s="9" t="str">
        <f aca="false">Productos!H63</f>
        <v>Mezcladora de Salmuera HVM Maku: equipo industrial. Distribuidor autorizado en Colombia. Solicite su cotización con un asesor de Technofood.</v>
      </c>
    </row>
    <row r="64" customFormat="false" ht="23.85" hidden="false" customHeight="false" outlineLevel="0" collapsed="false">
      <c r="A64" s="8" t="str">
        <f aca="false">Productos!A64</f>
        <v>tumbler-serie-b</v>
      </c>
      <c r="B64" s="9" t="str">
        <f aca="false">Productos!D64</f>
        <v>Tumbler Serie B Maku</v>
      </c>
      <c r="C64" s="9" t="str">
        <f aca="false">Productos!E64</f>
        <v>Tumbler Serie B Maku | Technofood Colombia</v>
      </c>
      <c r="D64" s="9" t="str">
        <f aca="false">Productos!H64</f>
        <v>Tumbler Serie B Maku: equipo industrial para la industria de alimentos. Distribuidor autorizado en Colombia. Solicite su cotización con Technofood.</v>
      </c>
    </row>
    <row r="65" customFormat="false" ht="23.85" hidden="false" customHeight="false" outlineLevel="0" collapsed="false">
      <c r="A65" s="8" t="str">
        <f aca="false">Productos!A65</f>
        <v>tumbler-serie-r</v>
      </c>
      <c r="B65" s="9" t="str">
        <f aca="false">Productos!D65</f>
        <v>Tumbler Serie R Maku</v>
      </c>
      <c r="C65" s="9" t="str">
        <f aca="false">Productos!E65</f>
        <v>Tumbler Serie R Maku | Technofood Colombia</v>
      </c>
      <c r="D65" s="9" t="str">
        <f aca="false">Productos!H65</f>
        <v>Tumbler Serie R Maku: equipo industrial para la industria de alimentos. Distribuidor autorizado en Colombia. Solicite su cotización con Technofood.</v>
      </c>
    </row>
    <row r="66" customFormat="false" ht="23.85" hidden="false" customHeight="false" outlineLevel="0" collapsed="false">
      <c r="A66" s="8" t="str">
        <f aca="false">Productos!A66</f>
        <v>tumbler-tipo-cvm</v>
      </c>
      <c r="B66" s="9" t="str">
        <f aca="false">Productos!D66</f>
        <v>Tumbler Tipo CVM Maku</v>
      </c>
      <c r="C66" s="9" t="str">
        <f aca="false">Productos!E66</f>
        <v>Tumbler Tipo CVM Maku | Technofood Colombia</v>
      </c>
      <c r="D66" s="9" t="str">
        <f aca="false">Productos!H66</f>
        <v>Tumbler Tipo CVM Maku: equipo industrial para la industria de alimentos. Distribuidor autorizado en Colombia. Solicite su cotización con Technofood.</v>
      </c>
    </row>
    <row r="67" customFormat="false" ht="23.85" hidden="false" customHeight="false" outlineLevel="0" collapsed="false">
      <c r="A67" s="8" t="str">
        <f aca="false">Productos!A67</f>
        <v>empacadora-flow-pack-cibeles</v>
      </c>
      <c r="B67" s="9" t="str">
        <f aca="false">Productos!D67</f>
        <v>Empacadora Flow Pack Cibeles Mayma</v>
      </c>
      <c r="C67" s="9" t="str">
        <f aca="false">Productos!E67</f>
        <v>Empacadora Flow Pack Cibeles Mayma | Technofood Colombia</v>
      </c>
      <c r="D67" s="9" t="str">
        <f aca="false">Productos!H67</f>
        <v>Empacadora Flow Pack Cibeles Mayma: equipo industrial. Distribuidor autorizado en Colombia. Solicite su cotización con un asesor de Technofood.</v>
      </c>
    </row>
    <row r="68" customFormat="false" ht="23.85" hidden="false" customHeight="false" outlineLevel="0" collapsed="false">
      <c r="A68" s="8" t="str">
        <f aca="false">Productos!A68</f>
        <v>empacadora-flow-pack-lepanto</v>
      </c>
      <c r="B68" s="9" t="str">
        <f aca="false">Productos!D68</f>
        <v>Empacadora Flow Pack Lepanto Mayma</v>
      </c>
      <c r="C68" s="9" t="str">
        <f aca="false">Productos!E68</f>
        <v>Empacadora Flow Pack Lepanto Mayma | Technofood Colombia</v>
      </c>
      <c r="D68" s="9" t="str">
        <f aca="false">Productos!H68</f>
        <v>Empacadora Flow Pack Lepanto Mayma: equipo industrial. Distribuidor autorizado en Colombia. Solicite su cotización con un asesor de Technofood.</v>
      </c>
    </row>
    <row r="69" customFormat="false" ht="23.85" hidden="false" customHeight="false" outlineLevel="0" collapsed="false">
      <c r="A69" s="8" t="str">
        <f aca="false">Productos!A69</f>
        <v>bomba-de-transporte</v>
      </c>
      <c r="B69" s="9" t="str">
        <f aca="false">Productos!D69</f>
        <v>Bomba de Transporte Oestergaard</v>
      </c>
      <c r="C69" s="9" t="str">
        <f aca="false">Productos!E69</f>
        <v>Bomba de Transporte Oestergaard | Technofood Colombia</v>
      </c>
      <c r="D69" s="9" t="str">
        <f aca="false">Productos!H69</f>
        <v>Bomba de Transporte Oestergaard: equipo industrial. Distribuidor autorizado en Colombia. Solicite su cotización con un asesor de Technofood.</v>
      </c>
    </row>
    <row r="70" customFormat="false" ht="23.85" hidden="false" customHeight="false" outlineLevel="0" collapsed="false">
      <c r="A70" s="8" t="str">
        <f aca="false">Productos!A70</f>
        <v>digestor-continuo</v>
      </c>
      <c r="B70" s="9" t="str">
        <f aca="false">Productos!D70</f>
        <v>Digestor Continuo Oestergaard</v>
      </c>
      <c r="C70" s="9" t="str">
        <f aca="false">Productos!E70</f>
        <v>Digestor Continuo Oestergaard | Technofood Colombia</v>
      </c>
      <c r="D70" s="9" t="str">
        <f aca="false">Productos!H70</f>
        <v>Digestor Continuo Oestergaard: equipo industrial. Distribuidor autorizado en Colombia. Solicite su cotización con un asesor de Technofood.</v>
      </c>
    </row>
    <row r="71" customFormat="false" ht="23.85" hidden="false" customHeight="false" outlineLevel="0" collapsed="false">
      <c r="A71" s="8" t="str">
        <f aca="false">Productos!A71</f>
        <v>molino-de-martillo</v>
      </c>
      <c r="B71" s="9" t="str">
        <f aca="false">Productos!D71</f>
        <v>Molino de Martillo Oestergaard</v>
      </c>
      <c r="C71" s="9" t="str">
        <f aca="false">Productos!E71</f>
        <v>Molino de Martillo Oestergaard | Technofood Colombia</v>
      </c>
      <c r="D71" s="9" t="str">
        <f aca="false">Productos!H71</f>
        <v>Molino de Martillo Oestergaard: equipo industrial. Distribuidor autorizado en Colombia. Solicite su cotización con un asesor de Technofood.</v>
      </c>
    </row>
    <row r="72" customFormat="false" ht="23.85" hidden="false" customHeight="false" outlineLevel="0" collapsed="false">
      <c r="A72" s="8" t="str">
        <f aca="false">Productos!A72</f>
        <v>prensa-continua</v>
      </c>
      <c r="B72" s="9" t="str">
        <f aca="false">Productos!D72</f>
        <v>Prensa Continua Oestergaard</v>
      </c>
      <c r="C72" s="9" t="str">
        <f aca="false">Productos!E72</f>
        <v>Prensa Continua Oestergaard | Technofood Colombia</v>
      </c>
      <c r="D72" s="9" t="str">
        <f aca="false">Productos!H72</f>
        <v>Prensa Continua Oestergaard: equipo industrial para la industria de alimentos. Distribuidor autorizado en Colombia. Solicite su cotización con Technofood.</v>
      </c>
    </row>
    <row r="73" customFormat="false" ht="23.85" hidden="false" customHeight="false" outlineLevel="0" collapsed="false">
      <c r="A73" s="8" t="str">
        <f aca="false">Productos!A73</f>
        <v>modulo-de-coccion-dual-mc1000</v>
      </c>
      <c r="B73" s="9" t="str">
        <f aca="false">Productos!D73</f>
        <v>Módulo de Cocción Dual MC1000 Paganini</v>
      </c>
      <c r="C73" s="9" t="str">
        <f aca="false">Productos!E73</f>
        <v>Módulo de Cocción Dual MC1000 Paganini | Technofood Colombia</v>
      </c>
      <c r="D73" s="9" t="str">
        <f aca="false">Productos!H73</f>
        <v>Módulo de Cocción Dual MC1000 Paganini: equipo industrial. Distribuidor autorizado en Colombia. Solicite su cotización con un asesor de Technofood.</v>
      </c>
    </row>
    <row r="74" customFormat="false" ht="23.85" hidden="false" customHeight="false" outlineLevel="0" collapsed="false">
      <c r="A74" s="8" t="str">
        <f aca="false">Productos!A74</f>
        <v>generador-de-humo-steamsmoker-s-850-h</v>
      </c>
      <c r="B74" s="9" t="str">
        <f aca="false">Productos!D74</f>
        <v>Generador de Humo Steamsmoker S 850 H Reich</v>
      </c>
      <c r="C74" s="9" t="str">
        <f aca="false">Productos!E74</f>
        <v>Generador de Humo Steamsmoker S 850 H Reich | Technofood</v>
      </c>
      <c r="D74" s="9" t="str">
        <f aca="false">Productos!H74</f>
        <v>Generador de Humo Steamsmoker S 850 H Reich: equipo industrial. Distribuidor autorizado en Colombia. Solicite su cotización con un asesor de Technofood.</v>
      </c>
    </row>
    <row r="75" customFormat="false" ht="23.85" hidden="false" customHeight="false" outlineLevel="0" collapsed="false">
      <c r="A75" s="8" t="str">
        <f aca="false">Productos!A75</f>
        <v>horno-airmaster-kk</v>
      </c>
      <c r="B75" s="9" t="str">
        <f aca="false">Productos!D75</f>
        <v>Horno Airmaster KK Reich</v>
      </c>
      <c r="C75" s="9" t="str">
        <f aca="false">Productos!E75</f>
        <v>Horno Airmaster KK Reich | Technofood Colombia</v>
      </c>
      <c r="D75" s="9" t="str">
        <f aca="false">Productos!H75</f>
        <v>Horno Airmaster KK Reich: equipo industrial para la industria de alimentos. Distribuidor autorizado en Colombia. Solicite su cotización con Technofood.</v>
      </c>
    </row>
    <row r="76" customFormat="false" ht="23.85" hidden="false" customHeight="false" outlineLevel="0" collapsed="false">
      <c r="A76" s="8" t="str">
        <f aca="false">Productos!A76</f>
        <v>intercambiador-airmaster-ic</v>
      </c>
      <c r="B76" s="9" t="str">
        <f aca="false">Productos!D76</f>
        <v>Intercambiador Airmaster IC Reich</v>
      </c>
      <c r="C76" s="9" t="str">
        <f aca="false">Productos!E76</f>
        <v>Intercambiador Airmaster IC Reich | Technofood Colombia</v>
      </c>
      <c r="D76" s="9" t="str">
        <f aca="false">Productos!H76</f>
        <v>Intercambiador Airmaster IC Reich: equipo industrial. Distribuidor autorizado en Colombia. Solicite su cotización con un asesor de Technofood.</v>
      </c>
    </row>
    <row r="77" customFormat="false" ht="23.85" hidden="false" customHeight="false" outlineLevel="0" collapsed="false">
      <c r="A77" s="8" t="str">
        <f aca="false">Productos!A77</f>
        <v>cortadora-k-60</v>
      </c>
      <c r="B77" s="9" t="str">
        <f aca="false">Productos!D77</f>
        <v>Cortadora K 60 Seydelmann</v>
      </c>
      <c r="C77" s="9" t="str">
        <f aca="false">Productos!E77</f>
        <v>Cortadora K 60 Seydelmann | Technofood Colombia</v>
      </c>
      <c r="D77" s="9" t="str">
        <f aca="false">Productos!H77</f>
        <v>Cortadora K 60 Seydelmann: equipo industrial para la industria de alimentos. Distribuidor autorizado en Colombia. Solicite su cotización con Technofood.</v>
      </c>
    </row>
    <row r="78" customFormat="false" ht="23.85" hidden="false" customHeight="false" outlineLevel="0" collapsed="false">
      <c r="A78" s="8" t="str">
        <f aca="false">Productos!A78</f>
        <v>emulsificadora-kk-140</v>
      </c>
      <c r="B78" s="9" t="str">
        <f aca="false">Productos!D78</f>
        <v>Emulsificadora KK 140 Seydelmann</v>
      </c>
      <c r="C78" s="9" t="str">
        <f aca="false">Productos!E78</f>
        <v>Emulsificadora KK 140 Seydelmann | Technofood Colombia</v>
      </c>
      <c r="D78" s="9" t="str">
        <f aca="false">Productos!H78</f>
        <v>Emulsificadora KK 140 Seydelmann: equipo industrial. Distribuidor autorizado en Colombia. Solicite su cotización con un asesor de Technofood.</v>
      </c>
    </row>
    <row r="79" customFormat="false" ht="23.85" hidden="false" customHeight="false" outlineLevel="0" collapsed="false">
      <c r="A79" s="8" t="str">
        <f aca="false">Productos!A79</f>
        <v>mezcladora-mr-1800</v>
      </c>
      <c r="B79" s="9" t="str">
        <f aca="false">Productos!D79</f>
        <v>Mezcladora MR 1800 Seydelmann</v>
      </c>
      <c r="C79" s="9" t="str">
        <f aca="false">Productos!E79</f>
        <v>Mezcladora MR 1800 Seydelmann | Technofood Colombia</v>
      </c>
      <c r="D79" s="9" t="str">
        <f aca="false">Productos!H79</f>
        <v>Mezcladora MR 1800 Seydelmann: equipo industrial. Distribuidor autorizado en Colombia. Solicite su cotización con un asesor de Technofood.</v>
      </c>
    </row>
    <row r="80" customFormat="false" ht="23.85" hidden="false" customHeight="false" outlineLevel="0" collapsed="false">
      <c r="A80" s="8" t="str">
        <f aca="false">Productos!A80</f>
        <v>molino-automatico-ae-130-3</v>
      </c>
      <c r="B80" s="9" t="str">
        <f aca="false">Productos!D80</f>
        <v>Molino Automático AE 130-3 Seydelmann</v>
      </c>
      <c r="C80" s="9" t="str">
        <f aca="false">Productos!E80</f>
        <v>Molino Automático AE 130-3 Seydelmann | Technofood Colombia</v>
      </c>
      <c r="D80" s="9" t="str">
        <f aca="false">Productos!H80</f>
        <v>Molino Automático AE 130-3 Seydelmann: equipo industrial. Distribuidor autorizado en Colombia. Solicite su cotización con un asesor de Technofood.</v>
      </c>
    </row>
    <row r="81" customFormat="false" ht="23.85" hidden="false" customHeight="false" outlineLevel="0" collapsed="false">
      <c r="A81" s="8" t="str">
        <f aca="false">Productos!A81</f>
        <v>molino-automatico-av-250-u</v>
      </c>
      <c r="B81" s="9" t="str">
        <f aca="false">Productos!D81</f>
        <v>Molino Automático AV 250 U Seydelmann</v>
      </c>
      <c r="C81" s="9" t="str">
        <f aca="false">Productos!E81</f>
        <v>Molino Automático AV 250 U Seydelmann | Technofood Colombia</v>
      </c>
      <c r="D81" s="9" t="str">
        <f aca="false">Productos!H81</f>
        <v>Molino Automático AV 250 U Seydelmann: equipo industrial. Distribuidor autorizado en Colombia. Solicite su cotización con un asesor de Technofood.</v>
      </c>
    </row>
    <row r="82" customFormat="false" ht="23.85" hidden="false" customHeight="false" outlineLevel="0" collapsed="false">
      <c r="A82" s="8" t="str">
        <f aca="false">Productos!A82</f>
        <v>tunel-de-refrigeracion-ac-660</v>
      </c>
      <c r="B82" s="9" t="str">
        <f aca="false">Productos!D82</f>
        <v>Túnel de Refrigeración AC 660 Supervac</v>
      </c>
      <c r="C82" s="9" t="str">
        <f aca="false">Productos!E82</f>
        <v>Túnel de Refrigeración AC 660 Supervac | Technofood Colombia</v>
      </c>
      <c r="D82" s="9" t="str">
        <f aca="false">Productos!H82</f>
        <v>Túnel de Refrigeración AC 660 Supervac: equipo industrial. Distribuidor autorizado en Colombia. Solicite su cotización con un asesor de Technofood.</v>
      </c>
    </row>
    <row r="83" customFormat="false" ht="23.85" hidden="false" customHeight="false" outlineLevel="0" collapsed="false">
      <c r="A83" s="8" t="str">
        <f aca="false">Productos!A83</f>
        <v>cortadora-de-bloques-de-carne-congelada-qp-5230</v>
      </c>
      <c r="B83" s="9" t="str">
        <f aca="false">Productos!D83</f>
        <v>Cortadora de Bloques de Carne Congelada QP 5230 Technofood</v>
      </c>
      <c r="C83" s="9" t="str">
        <f aca="false">Productos!E83</f>
        <v>Cortadora de Bloques de Carne Congelada QP 5230 Technofood</v>
      </c>
      <c r="D83" s="9" t="str">
        <f aca="false">Productos!H83</f>
        <v>Cortadora de Bloques de Carne Congelada QP 5230 Technofood. Distribuidor autorizado en Colombia. Solicite su cotización con Technofood.</v>
      </c>
    </row>
    <row r="84" customFormat="false" ht="23.85" hidden="false" customHeight="false" outlineLevel="0" collapsed="false">
      <c r="A84" s="8" t="str">
        <f aca="false">Productos!A84</f>
        <v>cutter-industrial-de-alta-velocidad-zbg-200</v>
      </c>
      <c r="B84" s="9" t="str">
        <f aca="false">Productos!D84</f>
        <v>Cutter Industrial de Alta Velocidad ZBG 200 Technofood</v>
      </c>
      <c r="C84" s="9" t="str">
        <f aca="false">Productos!E84</f>
        <v>Cutter Industrial de Alta Velocidad ZBG 200 Technofood</v>
      </c>
      <c r="D84" s="9" t="str">
        <f aca="false">Productos!H84</f>
        <v>Cutter Industrial de Alta Velocidad ZBG 200 Technofood. Distribuidor autorizado en Colombia. Solicite su cotización con Technofood.</v>
      </c>
    </row>
    <row r="85" customFormat="false" ht="23.85" hidden="false" customHeight="false" outlineLevel="0" collapsed="false">
      <c r="A85" s="8" t="str">
        <f aca="false">Productos!A85</f>
        <v>cutter-industrial-de-alta-velocidad-zbg-80-ii</v>
      </c>
      <c r="B85" s="9" t="str">
        <f aca="false">Productos!D85</f>
        <v>Cutter Industrial de Alta Velocidad ZBG 80 II Technofood</v>
      </c>
      <c r="C85" s="9" t="str">
        <f aca="false">Productos!E85</f>
        <v>Cutter Industrial de Alta Velocidad ZBG 80 II Technofood</v>
      </c>
      <c r="D85" s="9" t="str">
        <f aca="false">Productos!H85</f>
        <v>Cutter Industrial de Alta Velocidad ZBG 80 II Technofood. Distribuidor autorizado en Colombia. Solicite su cotización con Technofood.</v>
      </c>
    </row>
    <row r="86" customFormat="false" ht="23.85" hidden="false" customHeight="false" outlineLevel="0" collapsed="false">
      <c r="A86" s="8" t="str">
        <f aca="false">Productos!A86</f>
        <v>cutter-industrial-zbg-125</v>
      </c>
      <c r="B86" s="9" t="str">
        <f aca="false">Productos!D86</f>
        <v>Cutter Industrial ZBG 125 Technofood</v>
      </c>
      <c r="C86" s="9" t="str">
        <f aca="false">Productos!E86</f>
        <v>Cutter Industrial ZBG 125 Technofood | Technofood Colombia</v>
      </c>
      <c r="D86" s="9" t="str">
        <f aca="false">Productos!H86</f>
        <v>Cutter Industrial ZBG 125 Technofood: equipo industrial. Distribuidor autorizado en Colombia. Solicite su cotización con un asesor de Technofood.</v>
      </c>
    </row>
    <row r="87" customFormat="false" ht="23.85" hidden="false" customHeight="false" outlineLevel="0" collapsed="false">
      <c r="A87" s="8" t="str">
        <f aca="false">Productos!A87</f>
        <v>cutter-industrial-zbg-20</v>
      </c>
      <c r="B87" s="9" t="str">
        <f aca="false">Productos!D87</f>
        <v>Cutter Industrial ZBG 20 Technofood</v>
      </c>
      <c r="C87" s="9" t="str">
        <f aca="false">Productos!E87</f>
        <v>Cutter Industrial ZBG 20 Technofood | Technofood Colombia</v>
      </c>
      <c r="D87" s="9" t="str">
        <f aca="false">Productos!H87</f>
        <v>Cutter Industrial ZBG 20 Technofood: equipo industrial. Distribuidor autorizado en Colombia. Solicite su cotización con un asesor de Technofood.</v>
      </c>
    </row>
    <row r="88" customFormat="false" ht="23.85" hidden="false" customHeight="false" outlineLevel="0" collapsed="false">
      <c r="A88" s="8" t="str">
        <f aca="false">Productos!A88</f>
        <v>elevador-de-carros-ts-200</v>
      </c>
      <c r="B88" s="9" t="str">
        <f aca="false">Productos!D88</f>
        <v>Elevador de Carros TS 200 Technofood</v>
      </c>
      <c r="C88" s="9" t="str">
        <f aca="false">Productos!E88</f>
        <v>Elevador de Carros TS 200 Technofood | Technofood Colombia</v>
      </c>
      <c r="D88" s="9" t="str">
        <f aca="false">Productos!H88</f>
        <v>Elevador de Carros TS 200 Technofood: equipo industrial. Distribuidor autorizado en Colombia. Solicite su cotización con un asesor de Technofood.</v>
      </c>
    </row>
    <row r="89" customFormat="false" ht="23.85" hidden="false" customHeight="false" outlineLevel="0" collapsed="false">
      <c r="A89" s="8" t="str">
        <f aca="false">Productos!A89</f>
        <v>masajeador-al-vacio-con-refrigeracion-grkl-3500</v>
      </c>
      <c r="B89" s="9" t="str">
        <f aca="false">Productos!D89</f>
        <v>Masajeador al Vacío con Refrigeración GRKL 3500 Technofood</v>
      </c>
      <c r="C89" s="9" t="str">
        <f aca="false">Productos!E89</f>
        <v>Masajeador al Vacío con Refrigeración GRKL 3500 Technofood</v>
      </c>
      <c r="D89" s="9" t="str">
        <f aca="false">Productos!H89</f>
        <v>Masajeador al Vacío con Refrigeración GRKL 3500 Technofood. Distribuidor autorizado en Colombia. Solicite su cotización con Technofood.</v>
      </c>
    </row>
    <row r="90" customFormat="false" ht="23.85" hidden="false" customHeight="false" outlineLevel="0" collapsed="false">
      <c r="A90" s="8" t="str">
        <f aca="false">Productos!A90</f>
        <v>masajeador-al-vacio-grzk-100</v>
      </c>
      <c r="B90" s="9" t="str">
        <f aca="false">Productos!D90</f>
        <v>Masajeador al Vacío GRZK 100 Technofood</v>
      </c>
      <c r="C90" s="9" t="str">
        <f aca="false">Productos!E90</f>
        <v>Masajeador al Vacío GRZK 100 Technofood | Technofood</v>
      </c>
      <c r="D90" s="9" t="str">
        <f aca="false">Productos!H90</f>
        <v>Masajeador al Vacío GRZK 100 Technofood: equipo industrial. Distribuidor autorizado en Colombia. Solicite su cotización con un asesor de Technofood.</v>
      </c>
    </row>
    <row r="91" customFormat="false" ht="23.85" hidden="false" customHeight="false" outlineLevel="0" collapsed="false">
      <c r="A91" s="8" t="str">
        <f aca="false">Productos!A91</f>
        <v>masajeador-al-vacio-grzk-1000</v>
      </c>
      <c r="B91" s="9" t="str">
        <f aca="false">Productos!D91</f>
        <v>Masajeador al Vacío GRZK 1000 Technofood</v>
      </c>
      <c r="C91" s="9" t="str">
        <f aca="false">Productos!E91</f>
        <v>Masajeador al Vacío GRZK 1000 Technofood | Technofood</v>
      </c>
      <c r="D91" s="9" t="str">
        <f aca="false">Productos!H91</f>
        <v>Masajeador al Vacío GRZK 1000 Technofood: equipo industrial. Distribuidor autorizado en Colombia. Solicite su cotización con un asesor de Technofood.</v>
      </c>
    </row>
    <row r="92" customFormat="false" ht="23.85" hidden="false" customHeight="false" outlineLevel="0" collapsed="false">
      <c r="A92" s="8" t="str">
        <f aca="false">Productos!A92</f>
        <v>masajeador-al-vacio-grzk-2500</v>
      </c>
      <c r="B92" s="9" t="str">
        <f aca="false">Productos!D92</f>
        <v>Masajeador al Vacío GRZK 2500 Technofood</v>
      </c>
      <c r="C92" s="9" t="str">
        <f aca="false">Productos!E92</f>
        <v>Masajeador al Vacío GRZK 2500 Technofood | Technofood</v>
      </c>
      <c r="D92" s="9" t="str">
        <f aca="false">Productos!H92</f>
        <v>Masajeador al Vacío GRZK 2500 Technofood: equipo industrial. Distribuidor autorizado en Colombia. Solicite su cotización con un asesor de Technofood.</v>
      </c>
    </row>
    <row r="93" customFormat="false" ht="23.85" hidden="false" customHeight="false" outlineLevel="0" collapsed="false">
      <c r="A93" s="8" t="str">
        <f aca="false">Productos!A93</f>
        <v>masajeador-al-vacio-th-1800</v>
      </c>
      <c r="B93" s="9" t="str">
        <f aca="false">Productos!D93</f>
        <v>Masajeador al Vacío TH 1800 Technofood</v>
      </c>
      <c r="C93" s="9" t="str">
        <f aca="false">Productos!E93</f>
        <v>Masajeador al Vacío TH 1800 Technofood | Technofood Colombia</v>
      </c>
      <c r="D93" s="9" t="str">
        <f aca="false">Productos!H93</f>
        <v>Masajeador al Vacío TH 1800 Technofood: equipo industrial. Distribuidor autorizado en Colombia. Solicite su cotización con un asesor de Technofood.</v>
      </c>
    </row>
    <row r="94" customFormat="false" ht="23.85" hidden="false" customHeight="false" outlineLevel="0" collapsed="false">
      <c r="A94" s="8" t="str">
        <f aca="false">Productos!A94</f>
        <v>masajeadora-al-vacio-con-refrigeracion-grkl-1600</v>
      </c>
      <c r="B94" s="9" t="str">
        <f aca="false">Productos!D94</f>
        <v>Masajeadora al Vacío con Refrigeración GRKL 1600 Technofood</v>
      </c>
      <c r="C94" s="9" t="str">
        <f aca="false">Productos!E94</f>
        <v>Masajeadora al Vacío con Refrigeración GRKL 1600 Technofood</v>
      </c>
      <c r="D94" s="9" t="str">
        <f aca="false">Productos!H94</f>
        <v>Masajeadora al Vacío con Refrigeración GRKL 1600 Technofood. Distribuidor autorizado en Colombia. Solicite su cotización con Technofood.</v>
      </c>
    </row>
    <row r="95" customFormat="false" ht="23.85" hidden="false" customHeight="false" outlineLevel="0" collapsed="false">
      <c r="A95" s="8" t="str">
        <f aca="false">Productos!A95</f>
        <v>mezclador-al-vacio-jbzk-650</v>
      </c>
      <c r="B95" s="9" t="str">
        <f aca="false">Productos!D95</f>
        <v>Mezclador al Vacío JBZK 650 Technofood</v>
      </c>
      <c r="C95" s="9" t="str">
        <f aca="false">Productos!E95</f>
        <v>Mezclador al Vacío JBZK 650 Technofood | Technofood Colombia</v>
      </c>
      <c r="D95" s="9" t="str">
        <f aca="false">Productos!H95</f>
        <v>Mezclador al Vacío JBZK 650 Technofood: equipo industrial. Distribuidor autorizado en Colombia. Solicite su cotización con un asesor de Technofood.</v>
      </c>
    </row>
    <row r="96" customFormat="false" ht="23.85" hidden="false" customHeight="false" outlineLevel="0" collapsed="false">
      <c r="A96" s="8" t="str">
        <f aca="false">Productos!A96</f>
        <v>mezclador-de-carne-jb-150</v>
      </c>
      <c r="B96" s="9" t="str">
        <f aca="false">Productos!D96</f>
        <v>Mezclador de Carne JB 150 Technofood</v>
      </c>
      <c r="C96" s="9" t="str">
        <f aca="false">Productos!E96</f>
        <v>Mezclador de Carne JB 150 Technofood | Technofood Colombia</v>
      </c>
      <c r="D96" s="9" t="str">
        <f aca="false">Productos!H96</f>
        <v>Mezclador de Carne JB 150 Technofood: equipo industrial. Distribuidor autorizado en Colombia. Solicite su cotización con un asesor de Technofood.</v>
      </c>
    </row>
    <row r="97" customFormat="false" ht="23.85" hidden="false" customHeight="false" outlineLevel="0" collapsed="false">
      <c r="A97" s="8" t="str">
        <f aca="false">Productos!A97</f>
        <v>mezclador-de-carne-jb-2000</v>
      </c>
      <c r="B97" s="9" t="str">
        <f aca="false">Productos!D97</f>
        <v>Mezclador de Carne JB 2000 Technofood</v>
      </c>
      <c r="C97" s="9" t="str">
        <f aca="false">Productos!E97</f>
        <v>Mezclador de Carne JB 2000 Technofood | Technofood Colombia</v>
      </c>
      <c r="D97" s="9" t="str">
        <f aca="false">Productos!H97</f>
        <v>Mezclador de Carne JB 2000 Technofood: equipo industrial. Distribuidor autorizado en Colombia. Solicite su cotización con un asesor de Technofood.</v>
      </c>
    </row>
    <row r="98" customFormat="false" ht="23.85" hidden="false" customHeight="false" outlineLevel="0" collapsed="false">
      <c r="A98" s="8" t="str">
        <f aca="false">Productos!A98</f>
        <v>mezclador-de-carne-jb-650</v>
      </c>
      <c r="B98" s="9" t="str">
        <f aca="false">Productos!D98</f>
        <v>Mezclador de Carne JB 650 Technofood</v>
      </c>
      <c r="C98" s="9" t="str">
        <f aca="false">Productos!E98</f>
        <v>Mezclador de Carne JB 650 Technofood | Technofood Colombia</v>
      </c>
      <c r="D98" s="9" t="str">
        <f aca="false">Productos!H98</f>
        <v>Mezclador de Carne JB 650 Technofood: equipo industrial. Distribuidor autorizado en Colombia. Solicite su cotización con un asesor de Technofood.</v>
      </c>
    </row>
    <row r="99" customFormat="false" ht="23.85" hidden="false" customHeight="false" outlineLevel="0" collapsed="false">
      <c r="A99" s="8" t="str">
        <f aca="false">Productos!A99</f>
        <v>molino-de-carne-industrial-jr-130</v>
      </c>
      <c r="B99" s="9" t="str">
        <f aca="false">Productos!D99</f>
        <v>Molino de Carne Industrial JR 130 Technofood</v>
      </c>
      <c r="C99" s="9" t="str">
        <f aca="false">Productos!E99</f>
        <v>Molino de Carne Industrial JR 130 Technofood | Technofood</v>
      </c>
      <c r="D99" s="9" t="str">
        <f aca="false">Productos!H99</f>
        <v>Molino de Carne Industrial JR 130 Technofood: equipo industrial. Distribuidor autorizado en Colombia. Solicite su cotización con un asesor de Technofood.</v>
      </c>
    </row>
    <row r="100" customFormat="false" ht="23.85" hidden="false" customHeight="false" outlineLevel="0" collapsed="false">
      <c r="A100" s="8" t="str">
        <f aca="false">Productos!A100</f>
        <v>molino-de-carne-industrial-jrd-160</v>
      </c>
      <c r="B100" s="9" t="str">
        <f aca="false">Productos!D100</f>
        <v>Molino de Carne Industrial JRD 160 Technofood</v>
      </c>
      <c r="C100" s="9" t="str">
        <f aca="false">Productos!E100</f>
        <v>Molino de Carne Industrial JRD 160 Technofood | Technofood</v>
      </c>
      <c r="D100" s="9" t="str">
        <f aca="false">Productos!H100</f>
        <v>Molino de Carne Industrial JRD 160 Technofood: equipo industrial. Distribuidor autorizado en Colombia. Solicite su cotización con un asesor de Technofood.</v>
      </c>
    </row>
    <row r="101" customFormat="false" ht="23.85" hidden="false" customHeight="false" outlineLevel="0" collapsed="false">
      <c r="A101" s="8" t="str">
        <f aca="false">Productos!A101</f>
        <v>termoformadora-maximus-re</v>
      </c>
      <c r="B101" s="9" t="str">
        <f aca="false">Productos!D101</f>
        <v>Termoformadora Maximus RE Variovac</v>
      </c>
      <c r="C101" s="9" t="str">
        <f aca="false">Productos!E101</f>
        <v>Termoformadora Maximus RE Variovac | Technofood Colombia</v>
      </c>
      <c r="D101" s="9" t="str">
        <f aca="false">Productos!H101</f>
        <v>Termoformadora Maximus RE Variovac: equipo industrial. Distribuidor autorizado en Colombia. Solicite su cotización con un asesor de Technofood.</v>
      </c>
    </row>
    <row r="102" customFormat="false" ht="23.85" hidden="false" customHeight="false" outlineLevel="0" collapsed="false">
      <c r="A102" s="8" t="str">
        <f aca="false">Productos!A102</f>
        <v>termoformadora-optimus</v>
      </c>
      <c r="B102" s="9" t="str">
        <f aca="false">Productos!D102</f>
        <v>Termoformadora Optimus Variovac</v>
      </c>
      <c r="C102" s="9" t="str">
        <f aca="false">Productos!E102</f>
        <v>Termoformadora Optimus Variovac | Technofood Colombia</v>
      </c>
      <c r="D102" s="9" t="str">
        <f aca="false">Productos!H102</f>
        <v>Termoformadora Optimus Variovac: equipo industrial. Distribuidor autorizado en Colombia. Solicite su cotización con un asesor de Technofood.</v>
      </c>
    </row>
    <row r="103" customFormat="false" ht="23.85" hidden="false" customHeight="false" outlineLevel="0" collapsed="false">
      <c r="A103" s="8" t="str">
        <f aca="false">Productos!A103</f>
        <v>termoformadora-primus-mp</v>
      </c>
      <c r="B103" s="9" t="str">
        <f aca="false">Productos!D103</f>
        <v>Termoformadora Primus MP Variovac</v>
      </c>
      <c r="C103" s="9" t="str">
        <f aca="false">Productos!E103</f>
        <v>Termoformadora Primus MP Variovac | Technofood Colombia</v>
      </c>
      <c r="D103" s="9" t="str">
        <f aca="false">Productos!H103</f>
        <v>Termoformadora Primus MP Variovac: equipo industrial. Distribuidor autorizado en Colombia. Solicite su cotización con un asesor de Technofood.</v>
      </c>
    </row>
    <row r="104" customFormat="false" ht="23.85" hidden="false" customHeight="false" outlineLevel="0" collapsed="false">
      <c r="A104" s="8" t="str">
        <f aca="false">Productos!A104</f>
        <v>cargador-mecanico-de-salchichas</v>
      </c>
      <c r="B104" s="9" t="str">
        <f aca="false">Productos!D104</f>
        <v>Cargador Mecánico de Salchichas Velec</v>
      </c>
      <c r="C104" s="9" t="str">
        <f aca="false">Productos!E104</f>
        <v>Cargador Mecánico de Salchichas Velec | Technofood Colombia</v>
      </c>
      <c r="D104" s="9" t="str">
        <f aca="false">Productos!H104</f>
        <v>Cargador Mecánico de Salchichas Velec: equipo industrial. Distribuidor autorizado en Colombia. Solicite su cotización con un asesor de Technofood.</v>
      </c>
    </row>
    <row r="105" customFormat="false" ht="23.85" hidden="false" customHeight="false" outlineLevel="0" collapsed="false">
      <c r="A105" s="8" t="str">
        <f aca="false">Productos!A105</f>
        <v>sistema-de-dosificacion-cedev-4150</v>
      </c>
      <c r="B105" s="9" t="str">
        <f aca="false">Productos!D105</f>
        <v>Sistema de Dosificación Cedev 4150 Velec</v>
      </c>
      <c r="C105" s="9" t="str">
        <f aca="false">Productos!E105</f>
        <v>Sistema de Dosificación Cedev 4150 Velec | Technofood</v>
      </c>
      <c r="D105" s="9" t="str">
        <f aca="false">Productos!H105</f>
        <v>Sistema de Dosificación Cedev 4150 Velec: equipo industrial. Distribuidor autorizado en Colombia. Solicite su cotización con un asesor de Technofood.</v>
      </c>
    </row>
    <row r="106" customFormat="false" ht="23.85" hidden="false" customHeight="false" outlineLevel="0" collapsed="false">
      <c r="A106" s="8" t="str">
        <f aca="false">Productos!A106</f>
        <v>carro-cutter-awe</v>
      </c>
      <c r="B106" s="9" t="str">
        <f aca="false">Productos!D106</f>
        <v>Carro Cutter AWE</v>
      </c>
      <c r="C106" s="9" t="str">
        <f aca="false">Productos!E106</f>
        <v>Carro Cutter AWE | Technofood Colombia</v>
      </c>
      <c r="D106" s="9" t="str">
        <f aca="false">Productos!H106</f>
        <v>Carro Cutter AWE: insumo industrial para la industria de alimentos. Distribuidor autorizado en Colombia. Solicite su cotización con Technofood.</v>
      </c>
    </row>
    <row r="107" customFormat="false" ht="23.85" hidden="false" customHeight="false" outlineLevel="0" collapsed="false">
      <c r="A107" s="8" t="str">
        <f aca="false">Productos!A107</f>
        <v>dedos-de-goma-desplumadores-baader</v>
      </c>
      <c r="B107" s="9" t="str">
        <f aca="false">Productos!D107</f>
        <v>Dedos de Goma Desplumadores Baader</v>
      </c>
      <c r="C107" s="9" t="str">
        <f aca="false">Productos!E107</f>
        <v>Dedos de Goma Desplumadores Baader | Technofood Colombia</v>
      </c>
      <c r="D107" s="9" t="str">
        <f aca="false">Productos!H107</f>
        <v>Dedos de Goma Desplumadores Baader: insumo industrial. Distribuidor autorizado en Colombia. Solicite su cotización con un asesor de Technofood.</v>
      </c>
    </row>
    <row r="108" customFormat="false" ht="23.85" hidden="false" customHeight="false" outlineLevel="0" collapsed="false">
      <c r="A108" s="8" t="str">
        <f aca="false">Productos!A108</f>
        <v>pig-plug-efa</v>
      </c>
      <c r="B108" s="9" t="str">
        <f aca="false">Productos!D108</f>
        <v>Pig Plug EFA</v>
      </c>
      <c r="C108" s="9" t="str">
        <f aca="false">Productos!E108</f>
        <v>Pig Plug EFA | Technofood Colombia</v>
      </c>
      <c r="D108" s="9" t="str">
        <f aca="false">Productos!H108</f>
        <v>Pig Plug EFA: insumo industrial para la industria de alimentos. Distribuidor autorizado en Colombia. Solicite su cotización con Technofood.</v>
      </c>
    </row>
    <row r="109" customFormat="false" ht="23.85" hidden="false" customHeight="false" outlineLevel="0" collapsed="false">
      <c r="A109" s="8" t="str">
        <f aca="false">Productos!A109</f>
        <v>rollos-de-papel-para-hamburguesa-gaser</v>
      </c>
      <c r="B109" s="9" t="str">
        <f aca="false">Productos!D109</f>
        <v>Rollos de Papel para Hamburguesa Gaser</v>
      </c>
      <c r="C109" s="9" t="str">
        <f aca="false">Productos!E109</f>
        <v>Rollos de Papel para Hamburguesa Gaser | Technofood Colombia</v>
      </c>
      <c r="D109" s="9" t="str">
        <f aca="false">Productos!H109</f>
        <v>Rollos de Papel para Hamburguesa Gaser: insumo industrial. Distribuidor autorizado en Colombia. Solicite su cotización con un asesor de Technofood.</v>
      </c>
    </row>
    <row r="110" customFormat="false" ht="23.85" hidden="false" customHeight="false" outlineLevel="0" collapsed="false">
      <c r="A110" s="8" t="str">
        <f aca="false">Productos!A110</f>
        <v>cartucho-de-tinta-solvente-hp-975-para-codificador</v>
      </c>
      <c r="B110" s="9" t="str">
        <f aca="false">Productos!D110</f>
        <v>Cartucho de Tinta Solvente HP 975 para Codificador</v>
      </c>
      <c r="C110" s="9" t="str">
        <f aca="false">Productos!E110</f>
        <v>Cartucho de Tinta Solvente HP 975 para Codificador</v>
      </c>
      <c r="D110" s="9" t="str">
        <f aca="false">Productos!H110</f>
        <v>Cartucho de Tinta Solvente HP 975 para Codificador. Distribuidor autorizado en Colombia. Solicite su cotización con Technofood.</v>
      </c>
    </row>
    <row r="111" customFormat="false" ht="23.85" hidden="false" customHeight="false" outlineLevel="0" collapsed="false">
      <c r="A111" s="8" t="str">
        <f aca="false">Productos!A111</f>
        <v>clips-de-aluminio-international-clip</v>
      </c>
      <c r="B111" s="9" t="str">
        <f aca="false">Productos!D111</f>
        <v>Clips de Aluminio International Clip</v>
      </c>
      <c r="C111" s="9" t="str">
        <f aca="false">Productos!E111</f>
        <v>Clips de Aluminio International Clip | Technofood Colombia</v>
      </c>
      <c r="D111" s="9" t="str">
        <f aca="false">Productos!H111</f>
        <v>Clips de Aluminio International Clip: insumo industrial. Distribuidor autorizado en Colombia. Solicite su cotización con un asesor de Technofood.</v>
      </c>
    </row>
    <row r="112" customFormat="false" ht="23.85" hidden="false" customHeight="false" outlineLevel="0" collapsed="false">
      <c r="A112" s="8" t="str">
        <f aca="false">Productos!A112</f>
        <v>lazos-para-salchichon-international-clip-gs-25</v>
      </c>
      <c r="B112" s="9" t="str">
        <f aca="false">Productos!D112</f>
        <v>Lazos para Salchichón International Clip GS 25</v>
      </c>
      <c r="C112" s="9" t="str">
        <f aca="false">Productos!E112</f>
        <v>Lazos para Salchichón International Clip GS 25 | Technofood</v>
      </c>
      <c r="D112" s="9" t="str">
        <f aca="false">Productos!H112</f>
        <v>Lazos para Salchichón International Clip GS 25: insumo industrial. Distribuidor autorizado en Colombia. Solicite su cotización con un asesor de Technofood.</v>
      </c>
    </row>
    <row r="113" customFormat="false" ht="23.85" hidden="false" customHeight="false" outlineLevel="0" collapsed="false">
      <c r="A113" s="8" t="str">
        <f aca="false">Productos!A113</f>
        <v>rascador-taesa-ueb-1</v>
      </c>
      <c r="B113" s="9" t="str">
        <f aca="false">Productos!D113</f>
        <v>Rascador Taesa UEB-1</v>
      </c>
      <c r="C113" s="9" t="str">
        <f aca="false">Productos!E113</f>
        <v>Rascador Taesa UEB-1 | Technofood Colombia</v>
      </c>
      <c r="D113" s="9" t="str">
        <f aca="false">Productos!H113</f>
        <v>Rascador Taesa UEB-1: insumo industrial para la industria de alimentos. Distribuidor autorizado en Colombia. Solicite su cotización con Technofood.</v>
      </c>
    </row>
    <row r="114" customFormat="false" ht="23.85" hidden="false" customHeight="false" outlineLevel="0" collapsed="false">
      <c r="A114" s="8" t="str">
        <f aca="false">Productos!A114</f>
        <v>agente-desmoldante-pco-i-10-litros</v>
      </c>
      <c r="B114" s="9" t="str">
        <f aca="false">Productos!D114</f>
        <v>Agente Desmoldante PCO-I 10 Litros Boyens</v>
      </c>
      <c r="C114" s="9" t="str">
        <f aca="false">Productos!E114</f>
        <v>Agente Desmoldante PCO-I 10 Litros Boyens | Technofood</v>
      </c>
      <c r="D114" s="9" t="str">
        <f aca="false">Productos!H114</f>
        <v>Agente Desmoldante PCO-I 10 Litros Boyens: insumo industrial. Distribuidor autorizado en Colombia. Solicite su cotización con un asesor de Technofood.</v>
      </c>
    </row>
    <row r="115" customFormat="false" ht="23.85" hidden="false" customHeight="false" outlineLevel="0" collapsed="false">
      <c r="A115" s="8" t="str">
        <f aca="false">Productos!A115</f>
        <v>agente-desmoldante-trennspray-600-ml</v>
      </c>
      <c r="B115" s="9" t="str">
        <f aca="false">Productos!D115</f>
        <v>Agente Desmoldante Trennspray 600 Ml Boyens</v>
      </c>
      <c r="C115" s="9" t="str">
        <f aca="false">Productos!E115</f>
        <v>Agente Desmoldante Trennspray 600 Ml Boyens | Technofood</v>
      </c>
      <c r="D115" s="9" t="str">
        <f aca="false">Productos!H115</f>
        <v>Agente Desmoldante Trennspray 600 Ml Boyens: insumo industrial. Distribuidor autorizado en Colombia. Solicite su cotización con un asesor de Technofood.</v>
      </c>
    </row>
    <row r="116" customFormat="false" ht="23.85" hidden="false" customHeight="false" outlineLevel="0" collapsed="false">
      <c r="A116" s="8" t="str">
        <f aca="false">Productos!A116</f>
        <v>pulverizador-manual-spruhboy-04s</v>
      </c>
      <c r="B116" s="9" t="str">
        <f aca="false">Productos!D116</f>
        <v>Pulverizador Manual Sprühboy 04S Boyens</v>
      </c>
      <c r="C116" s="9" t="str">
        <f aca="false">Productos!E116</f>
        <v>Pulverizador Manual Sprühboy 04S Boyens | Technofood</v>
      </c>
      <c r="D116" s="9" t="str">
        <f aca="false">Productos!H116</f>
        <v>Pulverizador Manual Sprühboy 04S Boyens: insumo industrial. Distribuidor autorizado en Colombia. Solicite su cotización con un asesor de Technofood.</v>
      </c>
    </row>
    <row r="117" customFormat="false" ht="23.85" hidden="false" customHeight="false" outlineLevel="0" collapsed="false">
      <c r="A117" s="8" t="str">
        <f aca="false">Productos!A117</f>
        <v>pulverizador-manual-spruhboy-08s</v>
      </c>
      <c r="B117" s="9" t="str">
        <f aca="false">Productos!D117</f>
        <v>Pulverizador Manual Sprühboy 08S Boyens</v>
      </c>
      <c r="C117" s="9" t="str">
        <f aca="false">Productos!E117</f>
        <v>Pulverizador Manual Sprühboy 08S Boyens | Technofood</v>
      </c>
      <c r="D117" s="9" t="str">
        <f aca="false">Productos!H117</f>
        <v>Pulverizador Manual Sprühboy 08S Boyens: insumo industrial. Distribuidor autorizado en Colombia. Solicite su cotización con un asesor de Technofood.</v>
      </c>
    </row>
    <row r="118" customFormat="false" ht="23.85" hidden="false" customHeight="false" outlineLevel="0" collapsed="false">
      <c r="A118" s="8" t="str">
        <f aca="false">Productos!A118</f>
        <v>pulverizador-manual-spruhboy-14s</v>
      </c>
      <c r="B118" s="9" t="str">
        <f aca="false">Productos!D118</f>
        <v>Pulverizador Manual Sprühboy 14S Boyens</v>
      </c>
      <c r="C118" s="9" t="str">
        <f aca="false">Productos!E118</f>
        <v>Pulverizador Manual Sprühboy 14S Boyens | Technofood</v>
      </c>
      <c r="D118" s="9" t="str">
        <f aca="false">Productos!H118</f>
        <v>Pulverizador Manual Sprühboy 14S Boyens: insumo industrial. Distribuidor autorizado en Colombia. Solicite su cotización con un asesor de Technofood.</v>
      </c>
    </row>
    <row r="119" customFormat="false" ht="23.85" hidden="false" customHeight="false" outlineLevel="0" collapsed="false">
      <c r="A119" s="8" t="str">
        <f aca="false">Productos!A119</f>
        <v>atadora-de-bolsas-fpa-10-romms</v>
      </c>
      <c r="B119" s="9" t="str">
        <f aca="false">Productos!D119</f>
        <v>Atadora de Bolsas FPA-10 Romms</v>
      </c>
      <c r="C119" s="9" t="str">
        <f aca="false">Productos!E119</f>
        <v>Atadora de Bolsas FPA-10 Romms | Technofood Colombia</v>
      </c>
      <c r="D119" s="9" t="str">
        <f aca="false">Productos!H119</f>
        <v>Atadora de Bolsas FPA-10 Romms: equipo industrial. Distribuidor autorizado en Colombia. Solicite su cotización con un asesor de Technofood.</v>
      </c>
    </row>
    <row r="120" customFormat="false" ht="23.85" hidden="false" customHeight="false" outlineLevel="0" collapsed="false">
      <c r="A120" s="8" t="str">
        <f aca="false">Productos!A120</f>
        <v>bandeja-de-aluminio-lisa-para-hornear-technofood</v>
      </c>
      <c r="B120" s="9" t="str">
        <f aca="false">Productos!D120</f>
        <v>Bandeja de Aluminio Lisa para Hornear Technofood</v>
      </c>
      <c r="C120" s="9" t="str">
        <f aca="false">Productos!E120</f>
        <v>Bandeja de Aluminio Lisa para Hornear Technofood</v>
      </c>
      <c r="D120" s="9" t="str">
        <f aca="false">Productos!H120</f>
        <v>Bandeja de Aluminio Lisa para Hornear Technofood. Distribuidor autorizado en Colombia. Solicite su cotización con Technofood.</v>
      </c>
    </row>
    <row r="121" customFormat="false" ht="23.85" hidden="false" customHeight="false" outlineLevel="0" collapsed="false">
      <c r="A121" s="8" t="str">
        <f aca="false">Productos!A121</f>
        <v>bandeja-de-aluminio-perforada-para-hornear-technofood</v>
      </c>
      <c r="B121" s="9" t="str">
        <f aca="false">Productos!D121</f>
        <v>Bandeja de Aluminio Perforada para Hornear Technofood</v>
      </c>
      <c r="C121" s="9" t="str">
        <f aca="false">Productos!E121</f>
        <v>Bandeja de Aluminio Perforada para Hornear Technofood</v>
      </c>
      <c r="D121" s="9" t="str">
        <f aca="false">Productos!H121</f>
        <v>Bandeja de Aluminio Perforada para Hornear Technofood. Distribuidor autorizado en Colombia. Solicite su cotización con Technofood.</v>
      </c>
    </row>
    <row r="122" customFormat="false" ht="23.85" hidden="false" customHeight="false" outlineLevel="0" collapsed="false">
      <c r="A122" s="8" t="str">
        <f aca="false">Productos!A122</f>
        <v>carretes-rollos-de-atar-technofood</v>
      </c>
      <c r="B122" s="9" t="str">
        <f aca="false">Productos!D122</f>
        <v>Carretes (Rollos de Atar) Technofood</v>
      </c>
      <c r="C122" s="9" t="str">
        <f aca="false">Productos!E122</f>
        <v>Carretes (Rollos de Atar) Technofood | Technofood Colombia</v>
      </c>
      <c r="D122" s="9" t="str">
        <f aca="false">Productos!H122</f>
        <v>Carretes (Rollos de Atar) Technofood: insumo industrial. Distribuidor autorizado en Colombia. Solicite su cotización con un asesor de Technofood.</v>
      </c>
    </row>
    <row r="123" customFormat="false" ht="23.85" hidden="false" customHeight="false" outlineLevel="0" collapsed="false">
      <c r="A123" s="8" t="str">
        <f aca="false">Productos!A123</f>
        <v>cuchillas-para-rebanar-pan-technofood</v>
      </c>
      <c r="B123" s="9" t="str">
        <f aca="false">Productos!D123</f>
        <v>Cuchillas para Rebanar Pan Technofood</v>
      </c>
      <c r="C123" s="9" t="str">
        <f aca="false">Productos!E123</f>
        <v>Cuchillas para Rebanar Pan Technofood | Technofood Colombia</v>
      </c>
      <c r="D123" s="9" t="str">
        <f aca="false">Productos!H123</f>
        <v>Cuchillas para Rebanar Pan Technofood: insumo industrial. Distribuidor autorizado en Colombia. Solicite su cotización con un asesor de Technofood.</v>
      </c>
    </row>
    <row r="124" customFormat="false" ht="23.85" hidden="false" customHeight="false" outlineLevel="0" collapsed="false">
      <c r="A124" s="8" t="str">
        <f aca="false">Productos!A124</f>
        <v>maquina-de-croissants-baby-2800-alba</v>
      </c>
      <c r="B124" s="9" t="str">
        <f aca="false">Productos!D124</f>
        <v>Máquina de Croissants Baby 2800 Alba</v>
      </c>
      <c r="C124" s="9" t="str">
        <f aca="false">Productos!E124</f>
        <v>Máquina de Croissants Baby 2800 Alba | Technofood Colombia</v>
      </c>
      <c r="D124" s="9" t="str">
        <f aca="false">Productos!H124</f>
        <v>Máquina de Croissants Baby 2800 Alba: equipo industrial. Distribuidor autorizado en Colombia. Solicite su cotización con un asesor de Technofood.</v>
      </c>
    </row>
    <row r="125" customFormat="false" ht="23.85" hidden="false" customHeight="false" outlineLevel="0" collapsed="false">
      <c r="A125" s="8" t="str">
        <f aca="false">Productos!A125</f>
        <v>maquina-de-croissants-vacios-croistar-5000-alba</v>
      </c>
      <c r="B125" s="9" t="str">
        <f aca="false">Productos!D125</f>
        <v>Máquina de Croissants Vacíos Croistar 5000 Alba</v>
      </c>
      <c r="C125" s="9" t="str">
        <f aca="false">Productos!E125</f>
        <v>Máquina de Croissants Vacíos Croistar 5000 Alba | Technofood</v>
      </c>
      <c r="D125" s="9" t="str">
        <f aca="false">Productos!H125</f>
        <v>Máquina de Croissants Vacíos Croistar 5000 Alba. Distribuidor autorizado en Colombia. Solicite su cotización con Technofood.</v>
      </c>
    </row>
    <row r="126" customFormat="false" ht="23.85" hidden="false" customHeight="false" outlineLevel="0" collapsed="false">
      <c r="A126" s="8" t="str">
        <f aca="false">Productos!A126</f>
        <v>maquina-de-croissants-vacios-tkc-12-000-alba</v>
      </c>
      <c r="B126" s="9" t="str">
        <f aca="false">Productos!D126</f>
        <v>Máquina de Croissants Vacíos TKC 12.000 Alba</v>
      </c>
      <c r="C126" s="9" t="str">
        <f aca="false">Productos!E126</f>
        <v>Máquina de Croissants Vacíos TKC 12.000 Alba | Technofood</v>
      </c>
      <c r="D126" s="9" t="str">
        <f aca="false">Productos!H126</f>
        <v>Máquina de Croissants Vacíos TKC 12.000 Alba: equipo industrial. Distribuidor autorizado en Colombia. Solicite su cotización con un asesor de Technofood.</v>
      </c>
    </row>
    <row r="127" customFormat="false" ht="23.85" hidden="false" customHeight="false" outlineLevel="0" collapsed="false">
      <c r="A127" s="8" t="str">
        <f aca="false">Productos!A127</f>
        <v>divisora-boleadora-daky11</v>
      </c>
      <c r="B127" s="9" t="str">
        <f aca="false">Productos!D127</f>
        <v>Divisora Boleadora DAKY11 Dams</v>
      </c>
      <c r="C127" s="9" t="str">
        <f aca="false">Productos!E127</f>
        <v>Divisora Boleadora DAKY11 Dams | Technofood Colombia</v>
      </c>
      <c r="D127" s="9" t="str">
        <f aca="false">Productos!H127</f>
        <v>Divisora Boleadora DAKY11 Dams: equipo industrial. Distribuidor autorizado en Colombia. Solicite su cotización con un asesor de Technofood.</v>
      </c>
    </row>
    <row r="128" customFormat="false" ht="23.85" hidden="false" customHeight="false" outlineLevel="0" collapsed="false">
      <c r="A128" s="8" t="str">
        <f aca="false">Productos!A128</f>
        <v>divisora-boleadora-duky-54</v>
      </c>
      <c r="B128" s="9" t="str">
        <f aca="false">Productos!D128</f>
        <v>Divisora Boleadora DUKY 54 Dams</v>
      </c>
      <c r="C128" s="9" t="str">
        <f aca="false">Productos!E128</f>
        <v>Divisora Boleadora DUKY 54 Dams | Technofood Colombia</v>
      </c>
      <c r="D128" s="9" t="str">
        <f aca="false">Productos!H128</f>
        <v>Divisora Boleadora DUKY 54 Dams: equipo industrial. Distribuidor autorizado en Colombia. Solicite su cotización con un asesor de Technofood.</v>
      </c>
    </row>
    <row r="129" customFormat="false" ht="23.85" hidden="false" customHeight="false" outlineLevel="0" collapsed="false">
      <c r="A129" s="8" t="str">
        <f aca="false">Productos!A129</f>
        <v>divisora-boleadora-con-4-salidas-ddky-70</v>
      </c>
      <c r="B129" s="9" t="str">
        <f aca="false">Productos!D129</f>
        <v>Divisora Boleadora con 4 Salidas DDKY-70 Dams</v>
      </c>
      <c r="C129" s="9" t="str">
        <f aca="false">Productos!E129</f>
        <v>Divisora Boleadora con 4 Salidas DDKY-70 Dams | Technofood</v>
      </c>
      <c r="D129" s="9" t="str">
        <f aca="false">Productos!H129</f>
        <v>Divisora Boleadora con 4 Salidas DDKY-70 Dams: equipo industrial. Distribuidor autorizado en Colombia. Solicite su cotización con un asesor de Technofood.</v>
      </c>
    </row>
    <row r="130" customFormat="false" ht="23.85" hidden="false" customHeight="false" outlineLevel="0" collapsed="false">
      <c r="A130" s="8" t="str">
        <f aca="false">Productos!A130</f>
        <v>divisora-boleadora-con-8-salidas-dsky-15</v>
      </c>
      <c r="B130" s="9" t="str">
        <f aca="false">Productos!D130</f>
        <v>Divisora Boleadora con 8 Salidas DSKY-15 Dams</v>
      </c>
      <c r="C130" s="9" t="str">
        <f aca="false">Productos!E130</f>
        <v>Divisora Boleadora con 8 Salidas DSKY-15 Dams | Technofood</v>
      </c>
      <c r="D130" s="9" t="str">
        <f aca="false">Productos!H130</f>
        <v>Divisora Boleadora con 8 Salidas DSKY-15 Dams: equipo industrial. Distribuidor autorizado en Colombia. Solicite su cotización con un asesor de Technofood.</v>
      </c>
    </row>
    <row r="131" customFormat="false" ht="23.85" hidden="false" customHeight="false" outlineLevel="0" collapsed="false">
      <c r="A131" s="8" t="str">
        <f aca="false">Productos!A131</f>
        <v>cortadora-horizontal-bdp-xd</v>
      </c>
      <c r="B131" s="9" t="str">
        <f aca="false">Productos!D131</f>
        <v>Cortadora Horizontal BDP XD Dovaina</v>
      </c>
      <c r="C131" s="9" t="str">
        <f aca="false">Productos!E131</f>
        <v>Cortadora Horizontal BDP XD Dovaina | Technofood Colombia</v>
      </c>
      <c r="D131" s="9" t="str">
        <f aca="false">Productos!H131</f>
        <v>Cortadora Horizontal BDP XD Dovaina: equipo industrial. Distribuidor autorizado en Colombia. Solicite su cotización con un asesor de Technofood.</v>
      </c>
    </row>
    <row r="132" customFormat="false" ht="23.85" hidden="false" customHeight="false" outlineLevel="0" collapsed="false">
      <c r="A132" s="8" t="str">
        <f aca="false">Productos!A132</f>
        <v>empacadora-de-pan-dpk-335xl</v>
      </c>
      <c r="B132" s="9" t="str">
        <f aca="false">Productos!D132</f>
        <v>Empacadora de Pan DPK-335XL Dovaina</v>
      </c>
      <c r="C132" s="9" t="str">
        <f aca="false">Productos!E132</f>
        <v>Empacadora de Pan DPK-335XL Dovaina | Technofood Colombia</v>
      </c>
      <c r="D132" s="9" t="str">
        <f aca="false">Productos!H132</f>
        <v>Empacadora de Pan DPK-335XL Dovaina: equipo industrial. Distribuidor autorizado en Colombia. Solicite su cotización con un asesor de Technofood.</v>
      </c>
    </row>
    <row r="133" customFormat="false" ht="23.85" hidden="false" customHeight="false" outlineLevel="0" collapsed="false">
      <c r="A133" s="8" t="str">
        <f aca="false">Productos!A133</f>
        <v>empacadora-de-pan-dpk230</v>
      </c>
      <c r="B133" s="9" t="str">
        <f aca="false">Productos!D133</f>
        <v>Empacadora de Pan DPK230 Dovaina</v>
      </c>
      <c r="C133" s="9" t="str">
        <f aca="false">Productos!E133</f>
        <v>Empacadora de Pan DPK230 Dovaina | Technofood Colombia</v>
      </c>
      <c r="D133" s="9" t="str">
        <f aca="false">Productos!H133</f>
        <v>Empacadora de Pan DPK230 Dovaina: equipo industrial. Distribuidor autorizado en Colombia. Solicite su cotización con un asesor de Technofood.</v>
      </c>
    </row>
    <row r="134" customFormat="false" ht="23.85" hidden="false" customHeight="false" outlineLevel="0" collapsed="false">
      <c r="A134" s="8" t="str">
        <f aca="false">Productos!A134</f>
        <v>rebanadora-de-pan-dp-35</v>
      </c>
      <c r="B134" s="9" t="str">
        <f aca="false">Productos!D134</f>
        <v>Rebanadora de Pan DP 35 Dovaina</v>
      </c>
      <c r="C134" s="9" t="str">
        <f aca="false">Productos!E134</f>
        <v>Rebanadora de Pan DP 35 Dovaina | Technofood Colombia</v>
      </c>
      <c r="D134" s="9" t="str">
        <f aca="false">Productos!H134</f>
        <v>Rebanadora de Pan DP 35 Dovaina: equipo industrial. Distribuidor autorizado en Colombia. Solicite su cotización con un asesor de Technofood.</v>
      </c>
    </row>
    <row r="135" customFormat="false" ht="23.85" hidden="false" customHeight="false" outlineLevel="0" collapsed="false">
      <c r="A135" s="8" t="str">
        <f aca="false">Productos!A135</f>
        <v>rebanadora-de-pan-dp-70</v>
      </c>
      <c r="B135" s="9" t="str">
        <f aca="false">Productos!D135</f>
        <v>Rebanadora de Pan DP 70 Dovaina</v>
      </c>
      <c r="C135" s="9" t="str">
        <f aca="false">Productos!E135</f>
        <v>Rebanadora de Pan DP 70 Dovaina | Technofood Colombia</v>
      </c>
      <c r="D135" s="9" t="str">
        <f aca="false">Productos!H135</f>
        <v>Rebanadora de Pan DP 70 Dovaina: equipo industrial. Distribuidor autorizado en Colombia. Solicite su cotización con un asesor de Technofood.</v>
      </c>
    </row>
    <row r="136" customFormat="false" ht="23.85" hidden="false" customHeight="false" outlineLevel="0" collapsed="false">
      <c r="A136" s="8" t="str">
        <f aca="false">Productos!A136</f>
        <v>rebanadora-de-pan-dppl55</v>
      </c>
      <c r="B136" s="9" t="str">
        <f aca="false">Productos!D136</f>
        <v>Rebanadora de Pan DPPL55 Dovaina</v>
      </c>
      <c r="C136" s="9" t="str">
        <f aca="false">Productos!E136</f>
        <v>Rebanadora de Pan DPPL55 Dovaina | Technofood Colombia</v>
      </c>
      <c r="D136" s="9" t="str">
        <f aca="false">Productos!H136</f>
        <v>Rebanadora de Pan DPPL55 Dovaina: equipo industrial. Distribuidor autorizado en Colombia. Solicite su cotización con un asesor de Technofood.</v>
      </c>
    </row>
    <row r="137" customFormat="false" ht="23.85" hidden="false" customHeight="false" outlineLevel="0" collapsed="false">
      <c r="A137" s="8" t="str">
        <f aca="false">Productos!A137</f>
        <v>rebanadora-de-pan-y-aperitivos-tp60</v>
      </c>
      <c r="B137" s="9" t="str">
        <f aca="false">Productos!D137</f>
        <v>Rebanadora de Pan y Aperitivos TP60 Dovaina</v>
      </c>
      <c r="C137" s="9" t="str">
        <f aca="false">Productos!E137</f>
        <v>Rebanadora de Pan y Aperitivos TP60 Dovaina | Technofood</v>
      </c>
      <c r="D137" s="9" t="str">
        <f aca="false">Productos!H137</f>
        <v>Rebanadora de Pan y Aperitivos TP60 Dovaina: equipo industrial. Distribuidor autorizado en Colombia. Solicite su cotización con un asesor de Technofood.</v>
      </c>
    </row>
    <row r="138" customFormat="false" ht="23.85" hidden="false" customHeight="false" outlineLevel="0" collapsed="false">
      <c r="A138" s="8" t="str">
        <f aca="false">Productos!A138</f>
        <v>abatidor-de-temperatura-10-bandejas-abc-101-hc</v>
      </c>
      <c r="B138" s="9" t="str">
        <f aca="false">Productos!D138</f>
        <v>Abatidor de Temperatura 10 Bandejas ABC 101 HC Fagor</v>
      </c>
      <c r="C138" s="9" t="str">
        <f aca="false">Productos!E138</f>
        <v>Abatidor de Temperatura 10 Bandejas ABC 101 HC Fagor</v>
      </c>
      <c r="D138" s="9" t="str">
        <f aca="false">Productos!H138</f>
        <v>Abatidor de Temperatura 10 Bandejas ABC 101 HC Fagor. Distribuidor autorizado en Colombia. Solicite su cotización con Technofood.</v>
      </c>
    </row>
    <row r="139" customFormat="false" ht="23.85" hidden="false" customHeight="false" outlineLevel="0" collapsed="false">
      <c r="A139" s="8" t="str">
        <f aca="false">Productos!A139</f>
        <v>abatidor-de-temperatura-10-bandejas-abco-101</v>
      </c>
      <c r="B139" s="9" t="str">
        <f aca="false">Productos!D139</f>
        <v>Abatidor de Temperatura 10 Bandejas ABCO 101 Fagor</v>
      </c>
      <c r="C139" s="9" t="str">
        <f aca="false">Productos!E139</f>
        <v>Abatidor de Temperatura 10 Bandejas ABCO 101 Fagor</v>
      </c>
      <c r="D139" s="9" t="str">
        <f aca="false">Productos!H139</f>
        <v>Abatidor de Temperatura 10 Bandejas ABCO 101 Fagor. Distribuidor autorizado en Colombia. Solicite su cotización con Technofood.</v>
      </c>
    </row>
    <row r="140" customFormat="false" ht="23.85" hidden="false" customHeight="false" outlineLevel="0" collapsed="false">
      <c r="A140" s="8" t="str">
        <f aca="false">Productos!A140</f>
        <v>abatidor-de-temperatura-advance</v>
      </c>
      <c r="B140" s="9" t="str">
        <f aca="false">Productos!D140</f>
        <v>Abatidor de Temperatura Advance Fagor</v>
      </c>
      <c r="C140" s="9" t="str">
        <f aca="false">Productos!E140</f>
        <v>Abatidor de Temperatura Advance Fagor | Technofood Colombia</v>
      </c>
      <c r="D140" s="9" t="str">
        <f aca="false">Productos!H140</f>
        <v>Abatidor de Temperatura Advance Fagor: equipo industrial. Distribuidor autorizado en Colombia. Solicite su cotización con un asesor de Technofood.</v>
      </c>
    </row>
    <row r="141" customFormat="false" ht="23.85" hidden="false" customHeight="false" outlineLevel="0" collapsed="false">
      <c r="A141" s="8" t="str">
        <f aca="false">Productos!A141</f>
        <v>abatidor-de-temperatura-concept</v>
      </c>
      <c r="B141" s="9" t="str">
        <f aca="false">Productos!D141</f>
        <v>Abatidor de Temperatura Concept Fagor</v>
      </c>
      <c r="C141" s="9" t="str">
        <f aca="false">Productos!E141</f>
        <v>Abatidor de Temperatura Concept Fagor | Technofood Colombia</v>
      </c>
      <c r="D141" s="9" t="str">
        <f aca="false">Productos!H141</f>
        <v>Abatidor de Temperatura Concept Fagor: equipo industrial. Distribuidor autorizado en Colombia. Solicite su cotización con un asesor de Technofood.</v>
      </c>
    </row>
    <row r="142" customFormat="false" ht="23.85" hidden="false" customHeight="false" outlineLevel="0" collapsed="false">
      <c r="A142" s="8" t="str">
        <f aca="false">Productos!A142</f>
        <v>horno-ikore-concept</v>
      </c>
      <c r="B142" s="9" t="str">
        <f aca="false">Productos!D142</f>
        <v>Horno iKore Concept Fagor</v>
      </c>
      <c r="C142" s="9" t="str">
        <f aca="false">Productos!E142</f>
        <v>Horno iKore Concept Fagor | Technofood Colombia</v>
      </c>
      <c r="D142" s="9" t="str">
        <f aca="false">Productos!H142</f>
        <v>Horno iKore Concept Fagor: equipo industrial para la industria de alimentos. Distribuidor autorizado en Colombia. Solicite su cotización con Technofood.</v>
      </c>
    </row>
    <row r="143" customFormat="false" ht="23.85" hidden="false" customHeight="false" outlineLevel="0" collapsed="false">
      <c r="A143" s="8" t="str">
        <f aca="false">Productos!A143</f>
        <v>horno-ikore-kompact</v>
      </c>
      <c r="B143" s="9" t="str">
        <f aca="false">Productos!D143</f>
        <v>Horno iKore Kompact Fagor</v>
      </c>
      <c r="C143" s="9" t="str">
        <f aca="false">Productos!E143</f>
        <v>Horno iKore Kompact Fagor | Technofood Colombia</v>
      </c>
      <c r="D143" s="9" t="str">
        <f aca="false">Productos!H143</f>
        <v>Horno iKore Kompact Fagor: equipo industrial para la industria de alimentos. Distribuidor autorizado en Colombia. Solicite su cotización con Technofood.</v>
      </c>
    </row>
    <row r="144" customFormat="false" ht="23.85" hidden="false" customHeight="false" outlineLevel="0" collapsed="false">
      <c r="A144" s="8" t="str">
        <f aca="false">Productos!A144</f>
        <v>lavautensilios-inova</v>
      </c>
      <c r="B144" s="9" t="str">
        <f aca="false">Productos!D144</f>
        <v>Lavautensilios Inova Fagor</v>
      </c>
      <c r="C144" s="9" t="str">
        <f aca="false">Productos!E144</f>
        <v>Lavautensilios Inova Fagor | Technofood Colombia</v>
      </c>
      <c r="D144" s="9" t="str">
        <f aca="false">Productos!H144</f>
        <v>Lavautensilios Inova Fagor: equipo industrial para la industria de alimentos. Distribuidor autorizado en Colombia. Solicite su cotización con Technofood.</v>
      </c>
    </row>
    <row r="145" customFormat="false" ht="23.85" hidden="false" customHeight="false" outlineLevel="0" collapsed="false">
      <c r="A145" s="8" t="str">
        <f aca="false">Productos!A145</f>
        <v>lavavajillas-frontal-advance</v>
      </c>
      <c r="B145" s="9" t="str">
        <f aca="false">Productos!D145</f>
        <v>Lavavajillas Frontal Advance Fagor</v>
      </c>
      <c r="C145" s="9" t="str">
        <f aca="false">Productos!E145</f>
        <v>Lavavajillas Frontal Advance Fagor | Technofood Colombia</v>
      </c>
      <c r="D145" s="9" t="str">
        <f aca="false">Productos!H145</f>
        <v>Lavavajillas Frontal Advance Fagor: equipo industrial. Distribuidor autorizado en Colombia. Solicite su cotización con un asesor de Technofood.</v>
      </c>
    </row>
    <row r="146" customFormat="false" ht="23.85" hidden="false" customHeight="false" outlineLevel="0" collapsed="false">
      <c r="A146" s="8" t="str">
        <f aca="false">Productos!A146</f>
        <v>nevera-de-congelacion-mun-22g</v>
      </c>
      <c r="B146" s="9" t="str">
        <f aca="false">Productos!D146</f>
        <v>Nevera de Congelación MUN 22G Fagor</v>
      </c>
      <c r="C146" s="9" t="str">
        <f aca="false">Productos!E146</f>
        <v>Nevera de Congelación MUN 22G Fagor | Technofood Colombia</v>
      </c>
      <c r="D146" s="9" t="str">
        <f aca="false">Productos!H146</f>
        <v>Nevera de Congelación MUN 22G Fagor: equipo industrial. Distribuidor autorizado en Colombia. Solicite su cotización con un asesor de Technofood.</v>
      </c>
    </row>
    <row r="147" customFormat="false" ht="23.85" hidden="false" customHeight="false" outlineLevel="0" collapsed="false">
      <c r="A147" s="8" t="str">
        <f aca="false">Productos!A147</f>
        <v>sarten-basculante-a-gas-sb-g-915</v>
      </c>
      <c r="B147" s="9" t="str">
        <f aca="false">Productos!D147</f>
        <v>Sartén Basculante a Gas SB-G 915 Fagor</v>
      </c>
      <c r="C147" s="9" t="str">
        <f aca="false">Productos!E147</f>
        <v>Sartén Basculante a Gas SB-G 915 Fagor | Technofood Colombia</v>
      </c>
      <c r="D147" s="9" t="str">
        <f aca="false">Productos!H147</f>
        <v>Sartén Basculante a Gas SB-G 915 Fagor: equipo industrial. Distribuidor autorizado en Colombia. Solicite su cotización con un asesor de Technofood.</v>
      </c>
    </row>
    <row r="148" customFormat="false" ht="23.85" hidden="false" customHeight="false" outlineLevel="0" collapsed="false">
      <c r="A148" s="8" t="str">
        <f aca="false">Productos!A148</f>
        <v>sarten-basculante-sencillo-motorizado-sbg-200-m</v>
      </c>
      <c r="B148" s="9" t="str">
        <f aca="false">Productos!D148</f>
        <v>Sartén Basculante Sencillo Motorizado SBG-200 M Fagor</v>
      </c>
      <c r="C148" s="9" t="str">
        <f aca="false">Productos!E148</f>
        <v>Sartén Basculante Sencillo Motorizado SBG-200 M Fagor</v>
      </c>
      <c r="D148" s="9" t="str">
        <f aca="false">Productos!H148</f>
        <v>Sartén Basculante Sencillo Motorizado SBG-200 M Fagor. Distribuidor autorizado en Colombia. Solicite su cotización con Technofood.</v>
      </c>
    </row>
    <row r="149" customFormat="false" ht="23.85" hidden="false" customHeight="false" outlineLevel="0" collapsed="false">
      <c r="A149" s="8" t="str">
        <f aca="false">Productos!A149</f>
        <v>ultracongelador-rbm-202</v>
      </c>
      <c r="B149" s="9" t="str">
        <f aca="false">Productos!D149</f>
        <v>Ultracongelador RBM 202 Fagor</v>
      </c>
      <c r="C149" s="9" t="str">
        <f aca="false">Productos!E149</f>
        <v>Ultracongelador RBM 202 Fagor | Technofood Colombia</v>
      </c>
      <c r="D149" s="9" t="str">
        <f aca="false">Productos!H149</f>
        <v>Ultracongelador RBM 202 Fagor: equipo industrial. Distribuidor autorizado en Colombia. Solicite su cotización con un asesor de Technofood.</v>
      </c>
    </row>
    <row r="150" customFormat="false" ht="23.85" hidden="false" customHeight="false" outlineLevel="0" collapsed="false">
      <c r="A150" s="8" t="str">
        <f aca="false">Productos!A150</f>
        <v>batidora-industrial-bfi-150-180-ferneto</v>
      </c>
      <c r="B150" s="9" t="str">
        <f aca="false">Productos!D150</f>
        <v>Batidora Industrial BFI 150-180 Ferneto</v>
      </c>
      <c r="C150" s="9" t="str">
        <f aca="false">Productos!E150</f>
        <v>Batidora Industrial BFI 150-180 Ferneto | Technofood</v>
      </c>
      <c r="D150" s="9" t="str">
        <f aca="false">Productos!H150</f>
        <v>Batidora Industrial BFI 150-180 Ferneto: equipo industrial. Distribuidor autorizado en Colombia. Solicite su cotización con un asesor de Technofood.</v>
      </c>
    </row>
    <row r="151" customFormat="false" ht="23.85" hidden="false" customHeight="false" outlineLevel="0" collapsed="false">
      <c r="A151" s="8" t="str">
        <f aca="false">Productos!A151</f>
        <v>batidora-industrial-bti-100-140-ferneto</v>
      </c>
      <c r="B151" s="9" t="str">
        <f aca="false">Productos!D151</f>
        <v>Batidora Industrial BTI 100-140 Ferneto</v>
      </c>
      <c r="C151" s="9" t="str">
        <f aca="false">Productos!E151</f>
        <v>Batidora Industrial BTI 100-140 Ferneto | Technofood</v>
      </c>
      <c r="D151" s="9" t="str">
        <f aca="false">Productos!H151</f>
        <v>Batidora Industrial BTI 100-140 Ferneto: equipo industrial. Distribuidor autorizado en Colombia. Solicite su cotización con un asesor de Technofood.</v>
      </c>
    </row>
    <row r="152" customFormat="false" ht="23.85" hidden="false" customHeight="false" outlineLevel="0" collapsed="false">
      <c r="A152" s="8" t="str">
        <f aca="false">Productos!A152</f>
        <v>camara-de-fermentacion-acc246-ferneto</v>
      </c>
      <c r="B152" s="9" t="str">
        <f aca="false">Productos!D152</f>
        <v>Cámara de Fermentación ACC246 Ferneto</v>
      </c>
      <c r="C152" s="9" t="str">
        <f aca="false">Productos!E152</f>
        <v>Cámara de Fermentación ACC246 Ferneto | Technofood Colombia</v>
      </c>
      <c r="D152" s="9" t="str">
        <f aca="false">Productos!H152</f>
        <v>Cámara de Fermentación ACC246 Ferneto: equipo industrial. Distribuidor autorizado en Colombia. Solicite su cotización con un asesor de Technofood.</v>
      </c>
    </row>
    <row r="153" customFormat="false" ht="23.85" hidden="false" customHeight="false" outlineLevel="0" collapsed="false">
      <c r="A153" s="8" t="str">
        <f aca="false">Productos!A153</f>
        <v>divisora-automatica-daa400-ferneto</v>
      </c>
      <c r="B153" s="9" t="str">
        <f aca="false">Productos!D153</f>
        <v>Divisora Automática DAA400 Ferneto</v>
      </c>
      <c r="C153" s="9" t="str">
        <f aca="false">Productos!E153</f>
        <v>Divisora Automática DAA400 Ferneto | Technofood Colombia</v>
      </c>
      <c r="D153" s="9" t="str">
        <f aca="false">Productos!H153</f>
        <v>Divisora Automática DAA400 Ferneto: equipo industrial. Distribuidor autorizado en Colombia. Solicite su cotización con un asesor de Technofood.</v>
      </c>
    </row>
    <row r="154" customFormat="false" ht="23.85" hidden="false" customHeight="false" outlineLevel="0" collapsed="false">
      <c r="A154" s="8" t="str">
        <f aca="false">Productos!A154</f>
        <v>divisora-manual-dmf830-ferneto</v>
      </c>
      <c r="B154" s="9" t="str">
        <f aca="false">Productos!D154</f>
        <v>Divisora Manual DMF830 Ferneto</v>
      </c>
      <c r="C154" s="9" t="str">
        <f aca="false">Productos!E154</f>
        <v>Divisora Manual DMF830 Ferneto | Technofood Colombia</v>
      </c>
      <c r="D154" s="9" t="str">
        <f aca="false">Productos!H154</f>
        <v>Divisora Manual DMF830 Ferneto: equipo industrial. Distribuidor autorizado en Colombia. Solicite su cotización con un asesor de Technofood.</v>
      </c>
    </row>
    <row r="155" customFormat="false" ht="23.85" hidden="false" customHeight="false" outlineLevel="0" collapsed="false">
      <c r="A155" s="8" t="str">
        <f aca="false">Productos!A155</f>
        <v>divisora-semiautomatica-dsa400-ferneto</v>
      </c>
      <c r="B155" s="9" t="str">
        <f aca="false">Productos!D155</f>
        <v>Divisora Semiautomática DSA400 Ferneto</v>
      </c>
      <c r="C155" s="9" t="str">
        <f aca="false">Productos!E155</f>
        <v>Divisora Semiautomática DSA400 Ferneto | Technofood Colombia</v>
      </c>
      <c r="D155" s="9" t="str">
        <f aca="false">Productos!H155</f>
        <v>Divisora Semiautomática DSA400 Ferneto: equipo industrial. Distribuidor autorizado en Colombia. Solicite su cotización con un asesor de Technofood.</v>
      </c>
    </row>
    <row r="156" customFormat="false" ht="23.85" hidden="false" customHeight="false" outlineLevel="0" collapsed="false">
      <c r="A156" s="8" t="str">
        <f aca="false">Productos!A156</f>
        <v>enfriador-de-agua-raf-ferneto</v>
      </c>
      <c r="B156" s="9" t="str">
        <f aca="false">Productos!D156</f>
        <v>Enfriador de Agua RAF Ferneto</v>
      </c>
      <c r="C156" s="9" t="str">
        <f aca="false">Productos!E156</f>
        <v>Enfriador de Agua RAF Ferneto | Technofood Colombia</v>
      </c>
      <c r="D156" s="9" t="str">
        <f aca="false">Productos!H156</f>
        <v>Enfriador de Agua RAF Ferneto: equipo industrial. Distribuidor autorizado en Colombia. Solicite su cotización con un asesor de Technofood.</v>
      </c>
    </row>
    <row r="157" customFormat="false" ht="23.85" hidden="false" customHeight="false" outlineLevel="0" collapsed="false">
      <c r="A157" s="8" t="str">
        <f aca="false">Productos!A157</f>
        <v>formadora-de-baguetes-fvf-800-ferneto</v>
      </c>
      <c r="B157" s="9" t="str">
        <f aca="false">Productos!D157</f>
        <v>Formadora de Baguetes FVF 800 Ferneto</v>
      </c>
      <c r="C157" s="9" t="str">
        <f aca="false">Productos!E157</f>
        <v>Formadora de Baguetes FVF 800 Ferneto | Technofood Colombia</v>
      </c>
      <c r="D157" s="9" t="str">
        <f aca="false">Productos!H157</f>
        <v>Formadora de Baguetes FVF 800 Ferneto: equipo industrial. Distribuidor autorizado en Colombia. Solicite su cotización con un asesor de Technofood.</v>
      </c>
    </row>
    <row r="158" customFormat="false" ht="23.85" hidden="false" customHeight="false" outlineLevel="0" collapsed="false">
      <c r="A158" s="8" t="str">
        <f aca="false">Productos!A158</f>
        <v>laminadora-lmi-732-ferneto</v>
      </c>
      <c r="B158" s="9" t="str">
        <f aca="false">Productos!D158</f>
        <v>Laminadora LMI 732 Ferneto</v>
      </c>
      <c r="C158" s="9" t="str">
        <f aca="false">Productos!E158</f>
        <v>Laminadora LMI 732 Ferneto | Technofood Colombia</v>
      </c>
      <c r="D158" s="9" t="str">
        <f aca="false">Productos!H158</f>
        <v>Laminadora LMI 732 Ferneto: equipo industrial para la industria de alimentos. Distribuidor autorizado en Colombia. Solicite su cotización con Technofood.</v>
      </c>
    </row>
    <row r="159" customFormat="false" ht="23.85" hidden="false" customHeight="false" outlineLevel="0" collapsed="false">
      <c r="A159" s="8" t="str">
        <f aca="false">Productos!A159</f>
        <v>amasadora-ae10-inoxforni</v>
      </c>
      <c r="B159" s="9" t="str">
        <f aca="false">Productos!D159</f>
        <v>Amasadora AE10 Inoxforni</v>
      </c>
      <c r="C159" s="9" t="str">
        <f aca="false">Productos!E159</f>
        <v>Amasadora AE10 Inoxforni | Technofood Colombia</v>
      </c>
      <c r="D159" s="9" t="str">
        <f aca="false">Productos!H159</f>
        <v>Amasadora AE10 Inoxforni: equipo industrial para la industria de alimentos. Distribuidor autorizado en Colombia. Solicite su cotización con Technofood.</v>
      </c>
    </row>
    <row r="160" customFormat="false" ht="23.85" hidden="false" customHeight="false" outlineLevel="0" collapsed="false">
      <c r="A160" s="8" t="str">
        <f aca="false">Productos!A160</f>
        <v>amasadora-ae30-inoxforni</v>
      </c>
      <c r="B160" s="9" t="str">
        <f aca="false">Productos!D160</f>
        <v>Amasadora AE30 Inoxforni</v>
      </c>
      <c r="C160" s="9" t="str">
        <f aca="false">Productos!E160</f>
        <v>Amasadora AE30 Inoxforni | Technofood Colombia</v>
      </c>
      <c r="D160" s="9" t="str">
        <f aca="false">Productos!H160</f>
        <v>Amasadora AE30 Inoxforni: equipo industrial para la industria de alimentos. Distribuidor autorizado en Colombia. Solicite su cotización con Technofood.</v>
      </c>
    </row>
    <row r="161" customFormat="false" ht="23.85" hidden="false" customHeight="false" outlineLevel="0" collapsed="false">
      <c r="A161" s="8" t="str">
        <f aca="false">Productos!A161</f>
        <v>batidora-bp10-inoxforni</v>
      </c>
      <c r="B161" s="9" t="str">
        <f aca="false">Productos!D161</f>
        <v>Batidora BP10 Inoxforni</v>
      </c>
      <c r="C161" s="9" t="str">
        <f aca="false">Productos!E161</f>
        <v>Batidora BP10 Inoxforni | Technofood Colombia</v>
      </c>
      <c r="D161" s="9" t="str">
        <f aca="false">Productos!H161</f>
        <v>Batidora BP10 Inoxforni: equipo industrial para la industria de alimentos. Distribuidor autorizado en Colombia. Solicite su cotización con Technofood.</v>
      </c>
    </row>
    <row r="162" customFormat="false" ht="23.85" hidden="false" customHeight="false" outlineLevel="0" collapsed="false">
      <c r="A162" s="8" t="str">
        <f aca="false">Productos!A162</f>
        <v>batidora-bp20-inoxforni</v>
      </c>
      <c r="B162" s="9" t="str">
        <f aca="false">Productos!D162</f>
        <v>Batidora BP20 Inoxforni</v>
      </c>
      <c r="C162" s="9" t="str">
        <f aca="false">Productos!E162</f>
        <v>Batidora BP20 Inoxforni | Technofood Colombia</v>
      </c>
      <c r="D162" s="9" t="str">
        <f aca="false">Productos!H162</f>
        <v>Batidora BP20 Inoxforni: equipo industrial para la industria de alimentos. Distribuidor autorizado en Colombia. Solicite su cotización con Technofood.</v>
      </c>
    </row>
    <row r="163" customFormat="false" ht="23.85" hidden="false" customHeight="false" outlineLevel="0" collapsed="false">
      <c r="A163" s="8" t="str">
        <f aca="false">Productos!A163</f>
        <v>batidora-bp7a-inoxforni</v>
      </c>
      <c r="B163" s="9" t="str">
        <f aca="false">Productos!D163</f>
        <v>Batidora BP7A Inoxforni</v>
      </c>
      <c r="C163" s="9" t="str">
        <f aca="false">Productos!E163</f>
        <v>Batidora BP7A Inoxforni | Technofood Colombia</v>
      </c>
      <c r="D163" s="9" t="str">
        <f aca="false">Productos!H163</f>
        <v>Batidora BP7A Inoxforni: equipo industrial para la industria de alimentos. Distribuidor autorizado en Colombia. Solicite su cotización con Technofood.</v>
      </c>
    </row>
    <row r="164" customFormat="false" ht="23.85" hidden="false" customHeight="false" outlineLevel="0" collapsed="false">
      <c r="A164" s="8" t="str">
        <f aca="false">Productos!A164</f>
        <v>camara-de-fermentacion-leudo-l20-inoxforni</v>
      </c>
      <c r="B164" s="9" t="str">
        <f aca="false">Productos!D164</f>
        <v>Cámara de Fermentación Leudo L20 Inoxforni</v>
      </c>
      <c r="C164" s="9" t="str">
        <f aca="false">Productos!E164</f>
        <v>Cámara de Fermentación Leudo L20 Inoxforni | Technofood</v>
      </c>
      <c r="D164" s="9" t="str">
        <f aca="false">Productos!H164</f>
        <v>Cámara de Fermentación Leudo L20 Inoxforni: equipo industrial. Distribuidor autorizado en Colombia. Solicite su cotización con un asesor de Technofood.</v>
      </c>
    </row>
    <row r="165" customFormat="false" ht="23.85" hidden="false" customHeight="false" outlineLevel="0" collapsed="false">
      <c r="A165" s="8" t="str">
        <f aca="false">Productos!A165</f>
        <v>camara-de-fermentacion-leudo-l6-inoxforni</v>
      </c>
      <c r="B165" s="9" t="str">
        <f aca="false">Productos!D165</f>
        <v>Cámara de Fermentación Leudo L6 Inoxforni</v>
      </c>
      <c r="C165" s="9" t="str">
        <f aca="false">Productos!E165</f>
        <v>Cámara de Fermentación Leudo L6 Inoxforni | Technofood</v>
      </c>
      <c r="D165" s="9" t="str">
        <f aca="false">Productos!H165</f>
        <v>Cámara de Fermentación Leudo L6 Inoxforni: equipo industrial. Distribuidor autorizado en Colombia. Solicite su cotización con un asesor de Technofood.</v>
      </c>
    </row>
    <row r="166" customFormat="false" ht="23.85" hidden="false" customHeight="false" outlineLevel="0" collapsed="false">
      <c r="A166" s="8" t="str">
        <f aca="false">Productos!A166</f>
        <v>horno-a5-gas-y-electrico-inoxforni</v>
      </c>
      <c r="B166" s="9" t="str">
        <f aca="false">Productos!D166</f>
        <v>Horno A5 Gas y Eléctrico Inoxforni</v>
      </c>
      <c r="C166" s="9" t="str">
        <f aca="false">Productos!E166</f>
        <v>Horno A5 Gas y Eléctrico Inoxforni | Technofood Colombia</v>
      </c>
      <c r="D166" s="9" t="str">
        <f aca="false">Productos!H166</f>
        <v>Horno A5 Gas y Eléctrico Inoxforni: equipo industrial. Distribuidor autorizado en Colombia. Solicite su cotización con un asesor de Technofood.</v>
      </c>
    </row>
    <row r="167" customFormat="false" ht="23.85" hidden="false" customHeight="false" outlineLevel="0" collapsed="false">
      <c r="A167" s="8" t="str">
        <f aca="false">Productos!A167</f>
        <v>horno-a6-gas-y-electrico-inoxforni</v>
      </c>
      <c r="B167" s="9" t="str">
        <f aca="false">Productos!D167</f>
        <v>Horno A6 Gas y Eléctrico Inoxforni</v>
      </c>
      <c r="C167" s="9" t="str">
        <f aca="false">Productos!E167</f>
        <v>Horno A6 Gas y Eléctrico Inoxforni | Technofood Colombia</v>
      </c>
      <c r="D167" s="9" t="str">
        <f aca="false">Productos!H167</f>
        <v>Horno A6 Gas y Eléctrico Inoxforni: equipo industrial. Distribuidor autorizado en Colombia. Solicite su cotización con un asesor de Technofood.</v>
      </c>
    </row>
    <row r="168" customFormat="false" ht="23.85" hidden="false" customHeight="false" outlineLevel="0" collapsed="false">
      <c r="A168" s="8" t="str">
        <f aca="false">Productos!A168</f>
        <v>horno-h20-a2-1-inoxforni</v>
      </c>
      <c r="B168" s="9" t="str">
        <f aca="false">Productos!D168</f>
        <v>Horno H20 A2/1 Inoxforni</v>
      </c>
      <c r="C168" s="9" t="str">
        <f aca="false">Productos!E168</f>
        <v>Horno H20 A2/1 Inoxforni | Technofood Colombia</v>
      </c>
      <c r="D168" s="9" t="str">
        <f aca="false">Productos!H168</f>
        <v>Horno H20 A2/1 Inoxforni: equipo industrial para la industria de alimentos. Distribuidor autorizado en Colombia. Solicite su cotización con Technofood.</v>
      </c>
    </row>
    <row r="169" customFormat="false" ht="23.85" hidden="false" customHeight="false" outlineLevel="0" collapsed="false">
      <c r="A169" s="8" t="str">
        <f aca="false">Productos!A169</f>
        <v>horno-h20-gas-y-electrico-inoxforni</v>
      </c>
      <c r="B169" s="9" t="str">
        <f aca="false">Productos!D169</f>
        <v>Horno H20 Gas y Eléctrico Inoxforni</v>
      </c>
      <c r="C169" s="9" t="str">
        <f aca="false">Productos!E169</f>
        <v>Horno H20 Gas y Eléctrico Inoxforni | Technofood Colombia</v>
      </c>
      <c r="D169" s="9" t="str">
        <f aca="false">Productos!H169</f>
        <v>Horno H20 Gas y Eléctrico Inoxforni: equipo industrial. Distribuidor autorizado en Colombia. Solicite su cotización con un asesor de Technofood.</v>
      </c>
    </row>
    <row r="170" customFormat="false" ht="23.85" hidden="false" customHeight="false" outlineLevel="0" collapsed="false">
      <c r="A170" s="8" t="str">
        <f aca="false">Productos!A170</f>
        <v>amasadora-master-classic-logiudice</v>
      </c>
      <c r="B170" s="9" t="str">
        <f aca="false">Productos!D170</f>
        <v>Amasadora Master Classic Logiudice</v>
      </c>
      <c r="C170" s="9" t="str">
        <f aca="false">Productos!E170</f>
        <v>Amasadora Master Classic Logiudice | Technofood Colombia</v>
      </c>
      <c r="D170" s="9" t="str">
        <f aca="false">Productos!H170</f>
        <v>Amasadora Master Classic Logiudice: equipo industrial. Distribuidor autorizado en Colombia. Solicite su cotización con un asesor de Technofood.</v>
      </c>
    </row>
    <row r="171" customFormat="false" ht="23.85" hidden="false" customHeight="false" outlineLevel="0" collapsed="false">
      <c r="A171" s="8" t="str">
        <f aca="false">Productos!A171</f>
        <v>amasadora-master-mix-ar-logiudice</v>
      </c>
      <c r="B171" s="9" t="str">
        <f aca="false">Productos!D171</f>
        <v>Amasadora Master Mix AR Logiudice</v>
      </c>
      <c r="C171" s="9" t="str">
        <f aca="false">Productos!E171</f>
        <v>Amasadora Master Mix AR Logiudice | Technofood Colombia</v>
      </c>
      <c r="D171" s="9" t="str">
        <f aca="false">Productos!H171</f>
        <v>Amasadora Master Mix AR Logiudice: equipo industrial. Distribuidor autorizado en Colombia. Solicite su cotización con un asesor de Technofood.</v>
      </c>
    </row>
    <row r="172" customFormat="false" ht="23.85" hidden="false" customHeight="false" outlineLevel="0" collapsed="false">
      <c r="A172" s="8" t="str">
        <f aca="false">Productos!A172</f>
        <v>amasadora-master-plus-logiudice</v>
      </c>
      <c r="B172" s="9" t="str">
        <f aca="false">Productos!D172</f>
        <v>Amasadora Master Plus Logiudice</v>
      </c>
      <c r="C172" s="9" t="str">
        <f aca="false">Productos!E172</f>
        <v>Amasadora Master Plus Logiudice | Technofood Colombia</v>
      </c>
      <c r="D172" s="9" t="str">
        <f aca="false">Productos!H172</f>
        <v>Amasadora Master Plus Logiudice: equipo industrial. Distribuidor autorizado en Colombia. Solicite su cotización con un asesor de Technofood.</v>
      </c>
    </row>
    <row r="173" customFormat="false" ht="23.85" hidden="false" customHeight="false" outlineLevel="0" collapsed="false">
      <c r="A173" s="8" t="str">
        <f aca="false">Productos!A173</f>
        <v>amasadora-de-espiral-iris-arb-ars-con-volcador-logiudice</v>
      </c>
      <c r="B173" s="9" t="str">
        <f aca="false">Productos!D173</f>
        <v>Amasadora de Espiral Iris ARB ARS con Volcador Logiudice</v>
      </c>
      <c r="C173" s="9" t="str">
        <f aca="false">Productos!E173</f>
        <v>Amasadora de Espiral Iris ARB ARS con Volcador Logiudice</v>
      </c>
      <c r="D173" s="9" t="str">
        <f aca="false">Productos!H173</f>
        <v>Amasadora de Espiral Iris ARB ARS con Volcador Logiudice. Distribuidor autorizado en Colombia. Solicite su cotización con Technofood.</v>
      </c>
    </row>
    <row r="174" customFormat="false" ht="23.85" hidden="false" customHeight="false" outlineLevel="0" collapsed="false">
      <c r="A174" s="8" t="str">
        <f aca="false">Productos!A174</f>
        <v>amasadora-de-espiral-iris-logiudice</v>
      </c>
      <c r="B174" s="9" t="str">
        <f aca="false">Productos!D174</f>
        <v>Amasadora de Espiral Iris Logiudice</v>
      </c>
      <c r="C174" s="9" t="str">
        <f aca="false">Productos!E174</f>
        <v>Amasadora de Espiral Iris Logiudice | Technofood Colombia</v>
      </c>
      <c r="D174" s="9" t="str">
        <f aca="false">Productos!H174</f>
        <v>Amasadora de Espiral Iris Logiudice: equipo industrial. Distribuidor autorizado en Colombia. Solicite su cotización con un asesor de Technofood.</v>
      </c>
    </row>
    <row r="175" customFormat="false" ht="23.85" hidden="false" customHeight="false" outlineLevel="0" collapsed="false">
      <c r="A175" s="8" t="str">
        <f aca="false">Productos!A175</f>
        <v>camara-de-fermentacion-rise-logiudice</v>
      </c>
      <c r="B175" s="9" t="str">
        <f aca="false">Productos!D175</f>
        <v>Cámara de Fermentación Rise Logiudice</v>
      </c>
      <c r="C175" s="9" t="str">
        <f aca="false">Productos!E175</f>
        <v>Cámara de Fermentación Rise Logiudice | Technofood Colombia</v>
      </c>
      <c r="D175" s="9" t="str">
        <f aca="false">Productos!H175</f>
        <v>Cámara de Fermentación Rise Logiudice: equipo industrial. Distribuidor autorizado en Colombia. Solicite su cotización con un asesor de Technofood.</v>
      </c>
    </row>
    <row r="176" customFormat="false" ht="23.85" hidden="false" customHeight="false" outlineLevel="0" collapsed="false">
      <c r="A176" s="8" t="str">
        <f aca="false">Productos!A176</f>
        <v>camara-de-fermentacion-para-carros-logiudice</v>
      </c>
      <c r="B176" s="9" t="str">
        <f aca="false">Productos!D176</f>
        <v>Cámara de Fermentación para Carros Logiudice</v>
      </c>
      <c r="C176" s="9" t="str">
        <f aca="false">Productos!E176</f>
        <v>Cámara de Fermentación para Carros Logiudice | Technofood</v>
      </c>
      <c r="D176" s="9" t="str">
        <f aca="false">Productos!H176</f>
        <v>Cámara de Fermentación para Carros Logiudice: equipo industrial. Distribuidor autorizado en Colombia. Solicite su cotización con un asesor de Technofood.</v>
      </c>
    </row>
    <row r="177" customFormat="false" ht="23.85" hidden="false" customHeight="false" outlineLevel="0" collapsed="false">
      <c r="A177" s="8" t="str">
        <f aca="false">Productos!A177</f>
        <v>elevador-tower-sr2-logiudice</v>
      </c>
      <c r="B177" s="9" t="str">
        <f aca="false">Productos!D177</f>
        <v>Elevador Tower SR2 Logiudice</v>
      </c>
      <c r="C177" s="9" t="str">
        <f aca="false">Productos!E177</f>
        <v>Elevador Tower SR2 Logiudice | Technofood Colombia</v>
      </c>
      <c r="D177" s="9" t="str">
        <f aca="false">Productos!H177</f>
        <v>Elevador Tower SR2 Logiudice: equipo industrial para la industria de alimentos. Distribuidor autorizado en Colombia. Solicite su cotización con Technofood.</v>
      </c>
    </row>
    <row r="178" customFormat="false" ht="23.85" hidden="false" customHeight="false" outlineLevel="0" collapsed="false">
      <c r="A178" s="8" t="str">
        <f aca="false">Productos!A178</f>
        <v>horno-fox-18t-80-80-logiudice</v>
      </c>
      <c r="B178" s="9" t="str">
        <f aca="false">Productos!D178</f>
        <v>Horno Fox 18T 80/80 Logiudice</v>
      </c>
      <c r="C178" s="9" t="str">
        <f aca="false">Productos!E178</f>
        <v>Horno Fox 18T 80/80 Logiudice | Technofood Colombia</v>
      </c>
      <c r="D178" s="9" t="str">
        <f aca="false">Productos!H178</f>
        <v>Horno Fox 18T 80/80 Logiudice: equipo industrial. Distribuidor autorizado en Colombia. Solicite su cotización con un asesor de Technofood.</v>
      </c>
    </row>
    <row r="179" customFormat="false" ht="23.85" hidden="false" customHeight="false" outlineLevel="0" collapsed="false">
      <c r="A179" s="8" t="str">
        <f aca="false">Productos!A179</f>
        <v>horno-ministar-msr-logiudice</v>
      </c>
      <c r="B179" s="9" t="str">
        <f aca="false">Productos!D179</f>
        <v>Horno Ministar MSR Logiudice</v>
      </c>
      <c r="C179" s="9" t="str">
        <f aca="false">Productos!E179</f>
        <v>Horno Ministar MSR Logiudice | Technofood Colombia</v>
      </c>
      <c r="D179" s="9" t="str">
        <f aca="false">Productos!H179</f>
        <v>Horno Ministar MSR Logiudice: equipo industrial para la industria de alimentos. Distribuidor autorizado en Colombia. Solicite su cotización con Technofood.</v>
      </c>
    </row>
    <row r="180" customFormat="false" ht="23.85" hidden="false" customHeight="false" outlineLevel="0" collapsed="false">
      <c r="A180" s="8" t="str">
        <f aca="false">Productos!A180</f>
        <v>horno-modus-lfm-logiudice</v>
      </c>
      <c r="B180" s="9" t="str">
        <f aca="false">Productos!D180</f>
        <v>Horno Modus LFM Logiudice</v>
      </c>
      <c r="C180" s="9" t="str">
        <f aca="false">Productos!E180</f>
        <v>Horno Modus LFM Logiudice | Technofood Colombia</v>
      </c>
      <c r="D180" s="9" t="str">
        <f aca="false">Productos!H180</f>
        <v>Horno Modus LFM Logiudice: equipo industrial para la industria de alimentos. Distribuidor autorizado en Colombia. Solicite su cotización con Technofood.</v>
      </c>
    </row>
    <row r="181" customFormat="false" ht="23.85" hidden="false" customHeight="false" outlineLevel="0" collapsed="false">
      <c r="A181" s="8" t="str">
        <f aca="false">Productos!A181</f>
        <v>horno-stream-classic-logiudice</v>
      </c>
      <c r="B181" s="9" t="str">
        <f aca="false">Productos!D181</f>
        <v>Horno Stream Classic Logiudice</v>
      </c>
      <c r="C181" s="9" t="str">
        <f aca="false">Productos!E181</f>
        <v>Horno Stream Classic Logiudice | Technofood Colombia</v>
      </c>
      <c r="D181" s="9" t="str">
        <f aca="false">Productos!H181</f>
        <v>Horno Stream Classic Logiudice: equipo industrial. Distribuidor autorizado en Colombia. Solicite su cotización con un asesor de Technofood.</v>
      </c>
    </row>
    <row r="182" customFormat="false" ht="23.85" hidden="false" customHeight="false" outlineLevel="0" collapsed="false">
      <c r="A182" s="8" t="str">
        <f aca="false">Productos!A182</f>
        <v>batidora-mezcladora-planetary-mixer-80-matas</v>
      </c>
      <c r="B182" s="9" t="str">
        <f aca="false">Productos!D182</f>
        <v>Batidora Mezcladora Planetary Mixer 80 Matas</v>
      </c>
      <c r="C182" s="9" t="str">
        <f aca="false">Productos!E182</f>
        <v>Batidora Mezcladora Planetary Mixer 80 Matas | Technofood</v>
      </c>
      <c r="D182" s="9" t="str">
        <f aca="false">Productos!H182</f>
        <v>Batidora Mezcladora Planetary Mixer 80 Matas: equipo industrial. Distribuidor autorizado en Colombia. Solicite su cotización con un asesor de Technofood.</v>
      </c>
    </row>
    <row r="183" customFormat="false" ht="23.85" hidden="false" customHeight="false" outlineLevel="0" collapsed="false">
      <c r="A183" s="8" t="str">
        <f aca="false">Productos!A183</f>
        <v>batidora-mezcladora-planetario-pm-40-matas</v>
      </c>
      <c r="B183" s="9" t="str">
        <f aca="false">Productos!D183</f>
        <v>Batidora Mezcladora Planetario PM 40 Matas</v>
      </c>
      <c r="C183" s="9" t="str">
        <f aca="false">Productos!E183</f>
        <v>Batidora Mezcladora Planetario PM 40 Matas | Technofood</v>
      </c>
      <c r="D183" s="9" t="str">
        <f aca="false">Productos!H183</f>
        <v>Batidora Mezcladora Planetario PM 40 Matas: equipo industrial. Distribuidor autorizado en Colombia. Solicite su cotización con un asesor de Technofood.</v>
      </c>
    </row>
    <row r="184" customFormat="false" ht="23.85" hidden="false" customHeight="false" outlineLevel="0" collapsed="false">
      <c r="A184" s="8" t="str">
        <f aca="false">Productos!A184</f>
        <v>boleadora-conica-hkc-01-matas</v>
      </c>
      <c r="B184" s="9" t="str">
        <f aca="false">Productos!D184</f>
        <v>Boleadora Cónica HKC 01 Matas</v>
      </c>
      <c r="C184" s="9" t="str">
        <f aca="false">Productos!E184</f>
        <v>Boleadora Cónica HKC 01 Matas | Technofood Colombia</v>
      </c>
      <c r="D184" s="9" t="str">
        <f aca="false">Productos!H184</f>
        <v>Boleadora Cónica HKC 01 Matas: equipo industrial. Distribuidor autorizado en Colombia. Solicite su cotización con un asesor de Technofood.</v>
      </c>
    </row>
    <row r="185" customFormat="false" ht="23.85" hidden="false" customHeight="false" outlineLevel="0" collapsed="false">
      <c r="A185" s="8" t="str">
        <f aca="false">Productos!A185</f>
        <v>cortadora-de-pan-efe-01-matas</v>
      </c>
      <c r="B185" s="9" t="str">
        <f aca="false">Productos!D185</f>
        <v>Cortadora de Pan EFE 01 Matas</v>
      </c>
      <c r="C185" s="9" t="str">
        <f aca="false">Productos!E185</f>
        <v>Cortadora de Pan EFE 01 Matas | Technofood Colombia</v>
      </c>
      <c r="D185" s="9" t="str">
        <f aca="false">Productos!H185</f>
        <v>Cortadora de Pan EFE 01 Matas: equipo industrial. Distribuidor autorizado en Colombia. Solicite su cotización con un asesor de Technofood.</v>
      </c>
    </row>
    <row r="186" customFormat="false" ht="23.85" hidden="false" customHeight="false" outlineLevel="0" collapsed="false">
      <c r="A186" s="8" t="str">
        <f aca="false">Productos!A186</f>
        <v>cortadora-de-pan-efe-09-hercules-matas</v>
      </c>
      <c r="B186" s="9" t="str">
        <f aca="false">Productos!D186</f>
        <v>Cortadora de Pan EFE 09 Hércules Matas</v>
      </c>
      <c r="C186" s="9" t="str">
        <f aca="false">Productos!E186</f>
        <v>Cortadora de Pan EFE 09 Hércules Matas | Technofood Colombia</v>
      </c>
      <c r="D186" s="9" t="str">
        <f aca="false">Productos!H186</f>
        <v>Cortadora de Pan EFE 09 Hércules Matas: equipo industrial. Distribuidor autorizado en Colombia. Solicite su cotización con un asesor de Technofood.</v>
      </c>
    </row>
    <row r="187" customFormat="false" ht="23.85" hidden="false" customHeight="false" outlineLevel="0" collapsed="false">
      <c r="A187" s="8" t="str">
        <f aca="false">Productos!A187</f>
        <v>redondeador-de-masa-hkc-02-matas</v>
      </c>
      <c r="B187" s="9" t="str">
        <f aca="false">Productos!D187</f>
        <v>Redondeador de Masa HKC 02 Matas</v>
      </c>
      <c r="C187" s="9" t="str">
        <f aca="false">Productos!E187</f>
        <v>Redondeador de Masa HKC 02 Matas | Technofood Colombia</v>
      </c>
      <c r="D187" s="9" t="str">
        <f aca="false">Productos!H187</f>
        <v>Redondeador de Masa HKC 02 Matas: equipo industrial. Distribuidor autorizado en Colombia. Solicite su cotización con un asesor de Technofood.</v>
      </c>
    </row>
    <row r="188" customFormat="false" ht="23.85" hidden="false" customHeight="false" outlineLevel="0" collapsed="false">
      <c r="A188" s="8" t="str">
        <f aca="false">Productos!A188</f>
        <v>tamizadora-de-harina-un-01-matas</v>
      </c>
      <c r="B188" s="9" t="str">
        <f aca="false">Productos!D188</f>
        <v>Tamizadora de Harina un 01 Matas</v>
      </c>
      <c r="C188" s="9" t="str">
        <f aca="false">Productos!E188</f>
        <v>Tamizadora de Harina un 01 Matas | Technofood Colombia</v>
      </c>
      <c r="D188" s="9" t="str">
        <f aca="false">Productos!H188</f>
        <v>Tamizadora de Harina un 01 Matas: equipo industrial. Distribuidor autorizado en Colombia. Solicite su cotización con un asesor de Technofood.</v>
      </c>
    </row>
    <row r="189" customFormat="false" ht="23.85" hidden="false" customHeight="false" outlineLevel="0" collapsed="false">
      <c r="A189" s="8" t="str">
        <f aca="false">Productos!A189</f>
        <v>empacadora-flow-pack-ostippo-mayma</v>
      </c>
      <c r="B189" s="9" t="str">
        <f aca="false">Productos!D189</f>
        <v>Empacadora Flow Pack Ostippo Mayma</v>
      </c>
      <c r="C189" s="9" t="str">
        <f aca="false">Productos!E189</f>
        <v>Empacadora Flow Pack Ostippo Mayma | Technofood Colombia</v>
      </c>
      <c r="D189" s="9" t="str">
        <f aca="false">Productos!H189</f>
        <v>Empacadora Flow Pack Ostippo Mayma: equipo industrial. Distribuidor autorizado en Colombia. Solicite su cotización con un asesor de Technofood.</v>
      </c>
    </row>
    <row r="190" customFormat="false" ht="23.85" hidden="false" customHeight="false" outlineLevel="0" collapsed="false">
      <c r="A190" s="8" t="str">
        <f aca="false">Productos!A190</f>
        <v>horno-fast-tma</v>
      </c>
      <c r="B190" s="9" t="str">
        <f aca="false">Productos!D190</f>
        <v>Horno Fast TMA Mecateck</v>
      </c>
      <c r="C190" s="9" t="str">
        <f aca="false">Productos!E190</f>
        <v>Horno Fast TMA Mecateck | Technofood Colombia</v>
      </c>
      <c r="D190" s="9" t="str">
        <f aca="false">Productos!H190</f>
        <v>Horno Fast TMA Mecateck: equipo industrial para la industria de alimentos. Distribuidor autorizado en Colombia. Solicite su cotización con Technofood.</v>
      </c>
    </row>
    <row r="191" customFormat="false" ht="23.85" hidden="false" customHeight="false" outlineLevel="0" collapsed="false">
      <c r="A191" s="8" t="str">
        <f aca="false">Productos!A191</f>
        <v>horno-tmt-silver</v>
      </c>
      <c r="B191" s="9" t="str">
        <f aca="false">Productos!D191</f>
        <v>Horno TMT Silver Mecateck</v>
      </c>
      <c r="C191" s="9" t="str">
        <f aca="false">Productos!E191</f>
        <v>Horno TMT Silver Mecateck | Technofood Colombia</v>
      </c>
      <c r="D191" s="9" t="str">
        <f aca="false">Productos!H191</f>
        <v>Horno TMT Silver Mecateck: equipo industrial para la industria de alimentos. Distribuidor autorizado en Colombia. Solicite su cotización con Technofood.</v>
      </c>
    </row>
    <row r="192" customFormat="false" ht="23.85" hidden="false" customHeight="false" outlineLevel="0" collapsed="false">
      <c r="A192" s="8" t="str">
        <f aca="false">Productos!A192</f>
        <v>horno-de-tunel-flex-tc-silver</v>
      </c>
      <c r="B192" s="9" t="str">
        <f aca="false">Productos!D192</f>
        <v>Horno de Túnel Flex TC Silver Mecateck</v>
      </c>
      <c r="C192" s="9" t="str">
        <f aca="false">Productos!E192</f>
        <v>Horno de Túnel Flex TC Silver Mecateck | Technofood Colombia</v>
      </c>
      <c r="D192" s="9" t="str">
        <f aca="false">Productos!H192</f>
        <v>Horno de Túnel Flex TC Silver Mecateck: equipo industrial. Distribuidor autorizado en Colombia. Solicite su cotización con un asesor de Technofood.</v>
      </c>
    </row>
    <row r="193" customFormat="false" ht="23.85" hidden="false" customHeight="false" outlineLevel="0" collapsed="false">
      <c r="A193" s="8" t="str">
        <f aca="false">Productos!A193</f>
        <v>amasadora-otto-mobil</v>
      </c>
      <c r="B193" s="9" t="str">
        <f aca="false">Productos!D193</f>
        <v>Amasadora Otto Mobil Memak</v>
      </c>
      <c r="C193" s="9" t="str">
        <f aca="false">Productos!E193</f>
        <v>Amasadora Otto Mobil Memak | Technofood Colombia</v>
      </c>
      <c r="D193" s="9" t="str">
        <f aca="false">Productos!H193</f>
        <v>Amasadora Otto Mobil Memak: equipo industrial para la industria de alimentos. Distribuidor autorizado en Colombia. Solicite su cotización con Technofood.</v>
      </c>
    </row>
    <row r="194" customFormat="false" ht="23.85" hidden="false" customHeight="false" outlineLevel="0" collapsed="false">
      <c r="A194" s="8" t="str">
        <f aca="false">Productos!A194</f>
        <v>boleadora-conica-cr</v>
      </c>
      <c r="B194" s="9" t="str">
        <f aca="false">Productos!D194</f>
        <v>Boleadora Cónica CR Memak</v>
      </c>
      <c r="C194" s="9" t="str">
        <f aca="false">Productos!E194</f>
        <v>Boleadora Cónica CR Memak | Technofood Colombia</v>
      </c>
      <c r="D194" s="9" t="str">
        <f aca="false">Productos!H194</f>
        <v>Boleadora Cónica CR Memak: equipo industrial para la industria de alimentos. Distribuidor autorizado en Colombia. Solicite su cotización con Technofood.</v>
      </c>
    </row>
    <row r="195" customFormat="false" ht="23.85" hidden="false" customHeight="false" outlineLevel="0" collapsed="false">
      <c r="A195" s="8" t="str">
        <f aca="false">Productos!A195</f>
        <v>boleadora-conica-sonic</v>
      </c>
      <c r="B195" s="9" t="str">
        <f aca="false">Productos!D195</f>
        <v>Boleadora Cónica Sonic Memak</v>
      </c>
      <c r="C195" s="9" t="str">
        <f aca="false">Productos!E195</f>
        <v>Boleadora Cónica Sonic Memak | Technofood Colombia</v>
      </c>
      <c r="D195" s="9" t="str">
        <f aca="false">Productos!H195</f>
        <v>Boleadora Cónica Sonic Memak: equipo industrial para la industria de alimentos. Distribuidor autorizado en Colombia. Solicite su cotización con Technofood.</v>
      </c>
    </row>
    <row r="196" customFormat="false" ht="23.85" hidden="false" customHeight="false" outlineLevel="0" collapsed="false">
      <c r="A196" s="8" t="str">
        <f aca="false">Productos!A196</f>
        <v>camara-de-reposo-ipp</v>
      </c>
      <c r="B196" s="9" t="str">
        <f aca="false">Productos!D196</f>
        <v>Cámara de Reposo IPP Memak</v>
      </c>
      <c r="C196" s="9" t="str">
        <f aca="false">Productos!E196</f>
        <v>Cámara de Reposo IPP Memak | Technofood Colombia</v>
      </c>
      <c r="D196" s="9" t="str">
        <f aca="false">Productos!H196</f>
        <v>Cámara de Reposo IPP Memak: equipo industrial para la industria de alimentos. Distribuidor autorizado en Colombia. Solicite su cotización con Technofood.</v>
      </c>
    </row>
    <row r="197" customFormat="false" ht="23.85" hidden="false" customHeight="false" outlineLevel="0" collapsed="false">
      <c r="A197" s="8" t="str">
        <f aca="false">Productos!A197</f>
        <v>divisora-de-masa-volumetrica-vdd</v>
      </c>
      <c r="B197" s="9" t="str">
        <f aca="false">Productos!D197</f>
        <v>Divisora de Masa Volumétrica VDD Memak</v>
      </c>
      <c r="C197" s="9" t="str">
        <f aca="false">Productos!E197</f>
        <v>Divisora de Masa Volumétrica VDD Memak | Technofood Colombia</v>
      </c>
      <c r="D197" s="9" t="str">
        <f aca="false">Productos!H197</f>
        <v>Divisora de Masa Volumétrica VDD Memak: equipo industrial. Distribuidor autorizado en Colombia. Solicite su cotización con un asesor de Technofood.</v>
      </c>
    </row>
    <row r="198" customFormat="false" ht="23.85" hidden="false" customHeight="false" outlineLevel="0" collapsed="false">
      <c r="A198" s="8" t="str">
        <f aca="false">Productos!A198</f>
        <v>divisora-pesadora-ponder</v>
      </c>
      <c r="B198" s="9" t="str">
        <f aca="false">Productos!D198</f>
        <v>Divisora Pesadora Ponder Memak</v>
      </c>
      <c r="C198" s="9" t="str">
        <f aca="false">Productos!E198</f>
        <v>Divisora Pesadora Ponder Memak | Technofood Colombia</v>
      </c>
      <c r="D198" s="9" t="str">
        <f aca="false">Productos!H198</f>
        <v>Divisora Pesadora Ponder Memak: equipo industrial. Distribuidor autorizado en Colombia. Solicite su cotización con un asesor de Technofood.</v>
      </c>
    </row>
    <row r="199" customFormat="false" ht="23.85" hidden="false" customHeight="false" outlineLevel="0" collapsed="false">
      <c r="A199" s="8" t="str">
        <f aca="false">Productos!A199</f>
        <v>divisora-volumetrica-orion</v>
      </c>
      <c r="B199" s="9" t="str">
        <f aca="false">Productos!D199</f>
        <v>Divisora Volumétrica Orion Memak</v>
      </c>
      <c r="C199" s="9" t="str">
        <f aca="false">Productos!E199</f>
        <v>Divisora Volumétrica Orion Memak | Technofood Colombia</v>
      </c>
      <c r="D199" s="9" t="str">
        <f aca="false">Productos!H199</f>
        <v>Divisora Volumétrica Orion Memak: equipo industrial. Distribuidor autorizado en Colombia. Solicite su cotización con un asesor de Technofood.</v>
      </c>
    </row>
    <row r="200" customFormat="false" ht="23.85" hidden="false" customHeight="false" outlineLevel="0" collapsed="false">
      <c r="A200" s="8" t="str">
        <f aca="false">Productos!A200</f>
        <v>elevador-de-artesa-znms</v>
      </c>
      <c r="B200" s="9" t="str">
        <f aca="false">Productos!D200</f>
        <v>Elevador de Artesa ZNMS Memak</v>
      </c>
      <c r="C200" s="9" t="str">
        <f aca="false">Productos!E200</f>
        <v>Elevador de Artesa ZNMS Memak | Technofood Colombia</v>
      </c>
      <c r="D200" s="9" t="str">
        <f aca="false">Productos!H200</f>
        <v>Elevador de Artesa ZNMS Memak: equipo industrial. Distribuidor autorizado en Colombia. Solicite su cotización con un asesor de Technofood.</v>
      </c>
    </row>
    <row r="201" customFormat="false" ht="23.85" hidden="false" customHeight="false" outlineLevel="0" collapsed="false">
      <c r="A201" s="8" t="str">
        <f aca="false">Productos!A201</f>
        <v>formadora-enrolladora-industrial-lmm</v>
      </c>
      <c r="B201" s="9" t="str">
        <f aca="false">Productos!D201</f>
        <v>Formadora Enrolladora Industrial LMM Memak</v>
      </c>
      <c r="C201" s="9" t="str">
        <f aca="false">Productos!E201</f>
        <v>Formadora Enrolladora Industrial LMM Memak | Technofood</v>
      </c>
      <c r="D201" s="9" t="str">
        <f aca="false">Productos!H201</f>
        <v>Formadora Enrolladora Industrial LMM Memak: equipo industrial. Distribuidor autorizado en Colombia. Solicite su cotización con un asesor de Technofood.</v>
      </c>
    </row>
    <row r="202" customFormat="false" ht="23.85" hidden="false" customHeight="false" outlineLevel="0" collapsed="false">
      <c r="A202" s="8" t="str">
        <f aca="false">Productos!A202</f>
        <v>unidad-de-control-de-clima-mcl-2000</v>
      </c>
      <c r="B202" s="9" t="str">
        <f aca="false">Productos!D202</f>
        <v>Unidad de Control de Clima MCL 2000 Memak</v>
      </c>
      <c r="C202" s="9" t="str">
        <f aca="false">Productos!E202</f>
        <v>Unidad de Control de Clima MCL 2000 Memak | Technofood</v>
      </c>
      <c r="D202" s="9" t="str">
        <f aca="false">Productos!H202</f>
        <v>Unidad de Control de Clima MCL 2000 Memak: equipo industrial. Distribuidor autorizado en Colombia. Solicite su cotización con un asesor de Technofood.</v>
      </c>
    </row>
    <row r="203" customFormat="false" ht="23.85" hidden="false" customHeight="false" outlineLevel="0" collapsed="false">
      <c r="A203" s="8" t="str">
        <f aca="false">Productos!A203</f>
        <v>unidad-de-fermentacion-t-rest</v>
      </c>
      <c r="B203" s="9" t="str">
        <f aca="false">Productos!D203</f>
        <v>Unidad de Fermentación T-Rest Memak</v>
      </c>
      <c r="C203" s="9" t="str">
        <f aca="false">Productos!E203</f>
        <v>Unidad de Fermentación T-Rest Memak | Technofood Colombia</v>
      </c>
      <c r="D203" s="9" t="str">
        <f aca="false">Productos!H203</f>
        <v>Unidad de Fermentación T-Rest Memak: equipo industrial. Distribuidor autorizado en Colombia. Solicite su cotización con un asesor de Technofood.</v>
      </c>
    </row>
    <row r="204" customFormat="false" ht="23.85" hidden="false" customHeight="false" outlineLevel="0" collapsed="false">
      <c r="A204" s="8" t="str">
        <f aca="false">Productos!A204</f>
        <v>co-extrusora-para-rellenar-multiform</v>
      </c>
      <c r="B204" s="9" t="str">
        <f aca="false">Productos!D204</f>
        <v>Co-extrusora para Rellenar Multiform Mimac</v>
      </c>
      <c r="C204" s="9" t="str">
        <f aca="false">Productos!E204</f>
        <v>Co-extrusora para Rellenar Multiform Mimac | Technofood</v>
      </c>
      <c r="D204" s="9" t="str">
        <f aca="false">Productos!H204</f>
        <v>Co-extrusora para Rellenar Multiform Mimac: equipo industrial. Distribuidor autorizado en Colombia. Solicite su cotización con un asesor de Technofood.</v>
      </c>
    </row>
    <row r="205" customFormat="false" ht="23.85" hidden="false" customHeight="false" outlineLevel="0" collapsed="false">
      <c r="A205" s="8" t="str">
        <f aca="false">Productos!A205</f>
        <v>galletera-suprema</v>
      </c>
      <c r="B205" s="9" t="str">
        <f aca="false">Productos!D205</f>
        <v>Galletera Suprema Mimac</v>
      </c>
      <c r="C205" s="9" t="str">
        <f aca="false">Productos!E205</f>
        <v>Galletera Suprema Mimac | Technofood Colombia</v>
      </c>
      <c r="D205" s="9" t="str">
        <f aca="false">Productos!H205</f>
        <v>Galletera Suprema Mimac: equipo industrial para la industria de alimentos. Distribuidor autorizado en Colombia. Solicite su cotización con Technofood.</v>
      </c>
    </row>
    <row r="206" customFormat="false" ht="23.85" hidden="false" customHeight="false" outlineLevel="0" collapsed="false">
      <c r="A206" s="8" t="str">
        <f aca="false">Productos!A206</f>
        <v>galletera-dosificadora-babydrop</v>
      </c>
      <c r="B206" s="9" t="str">
        <f aca="false">Productos!D206</f>
        <v>Galletera Dosificadora Babydrop Mimac</v>
      </c>
      <c r="C206" s="9" t="str">
        <f aca="false">Productos!E206</f>
        <v>Galletera Dosificadora Babydrop Mimac | Technofood Colombia</v>
      </c>
      <c r="D206" s="9" t="str">
        <f aca="false">Productos!H206</f>
        <v>Galletera Dosificadora Babydrop Mimac: equipo industrial. Distribuidor autorizado en Colombia. Solicite su cotización con un asesor de Technofood.</v>
      </c>
    </row>
    <row r="207" customFormat="false" ht="23.85" hidden="false" customHeight="false" outlineLevel="0" collapsed="false">
      <c r="A207" s="8" t="str">
        <f aca="false">Productos!A207</f>
        <v>galletera-dosificadora-doble</v>
      </c>
      <c r="B207" s="9" t="str">
        <f aca="false">Productos!D207</f>
        <v>Galletera Dosificadora Doble Mimac</v>
      </c>
      <c r="C207" s="9" t="str">
        <f aca="false">Productos!E207</f>
        <v>Galletera Dosificadora Doble Mimac | Technofood Colombia</v>
      </c>
      <c r="D207" s="9" t="str">
        <f aca="false">Productos!H207</f>
        <v>Galletera Dosificadora Doble Mimac: equipo industrial. Distribuidor autorizado en Colombia. Solicite su cotización con un asesor de Technofood.</v>
      </c>
    </row>
    <row r="208" customFormat="false" ht="23.85" hidden="false" customHeight="false" outlineLevel="0" collapsed="false">
      <c r="A208" s="8" t="str">
        <f aca="false">Productos!A208</f>
        <v>galletera-dosificadora-eurodrop</v>
      </c>
      <c r="B208" s="9" t="str">
        <f aca="false">Productos!D208</f>
        <v>Galletera Dosificadora Eurodrop Mimac</v>
      </c>
      <c r="C208" s="9" t="str">
        <f aca="false">Productos!E208</f>
        <v>Galletera Dosificadora Eurodrop Mimac | Technofood Colombia</v>
      </c>
      <c r="D208" s="9" t="str">
        <f aca="false">Productos!H208</f>
        <v>Galletera Dosificadora Eurodrop Mimac: equipo industrial. Distribuidor autorizado en Colombia. Solicite su cotización con un asesor de Technofood.</v>
      </c>
    </row>
    <row r="209" customFormat="false" ht="23.85" hidden="false" customHeight="false" outlineLevel="0" collapsed="false">
      <c r="A209" s="8" t="str">
        <f aca="false">Productos!A209</f>
        <v>galletera-dosificadora-maxidrop</v>
      </c>
      <c r="B209" s="9" t="str">
        <f aca="false">Productos!D209</f>
        <v>Galletera Dosificadora Maxidrop Mimac</v>
      </c>
      <c r="C209" s="9" t="str">
        <f aca="false">Productos!E209</f>
        <v>Galletera Dosificadora Maxidrop Mimac | Technofood Colombia</v>
      </c>
      <c r="D209" s="9" t="str">
        <f aca="false">Productos!H209</f>
        <v>Galletera Dosificadora Maxidrop Mimac: equipo industrial. Distribuidor autorizado en Colombia. Solicite su cotización con un asesor de Technofood.</v>
      </c>
    </row>
    <row r="210" customFormat="false" ht="23.85" hidden="false" customHeight="false" outlineLevel="0" collapsed="false">
      <c r="A210" s="8" t="str">
        <f aca="false">Productos!A210</f>
        <v>linea-pastelera-flex-line</v>
      </c>
      <c r="B210" s="9" t="str">
        <f aca="false">Productos!D210</f>
        <v>Línea Pastelera Flex Line Mimac</v>
      </c>
      <c r="C210" s="9" t="str">
        <f aca="false">Productos!E210</f>
        <v>Línea Pastelera Flex Line Mimac | Technofood Colombia</v>
      </c>
      <c r="D210" s="9" t="str">
        <f aca="false">Productos!H210</f>
        <v>Línea Pastelera Flex Line Mimac: equipo industrial. Distribuidor autorizado en Colombia. Solicite su cotización con un asesor de Technofood.</v>
      </c>
    </row>
    <row r="211" customFormat="false" ht="23.85" hidden="false" customHeight="false" outlineLevel="0" collapsed="false">
      <c r="A211" s="8" t="str">
        <f aca="false">Productos!A211</f>
        <v>moldeadora-rotativa-rot500</v>
      </c>
      <c r="B211" s="9" t="str">
        <f aca="false">Productos!D211</f>
        <v>Moldeadora Rotativa ROT500 Mimac</v>
      </c>
      <c r="C211" s="9" t="str">
        <f aca="false">Productos!E211</f>
        <v>Moldeadora Rotativa ROT500 Mimac | Technofood Colombia</v>
      </c>
      <c r="D211" s="9" t="str">
        <f aca="false">Productos!H211</f>
        <v>Moldeadora Rotativa ROT500 Mimac: equipo industrial. Distribuidor autorizado en Colombia. Solicite su cotización con un asesor de Technofood.</v>
      </c>
    </row>
    <row r="212" customFormat="false" ht="23.85" hidden="false" customHeight="false" outlineLevel="0" collapsed="false">
      <c r="A212" s="8" t="str">
        <f aca="false">Productos!A212</f>
        <v>prensa-de-tartaletas-tart</v>
      </c>
      <c r="B212" s="9" t="str">
        <f aca="false">Productos!D212</f>
        <v>Prensa de Tartaletas Tart Mimac</v>
      </c>
      <c r="C212" s="9" t="str">
        <f aca="false">Productos!E212</f>
        <v>Prensa de Tartaletas Tart Mimac | Technofood Colombia</v>
      </c>
      <c r="D212" s="9" t="str">
        <f aca="false">Productos!H212</f>
        <v>Prensa de Tartaletas Tart Mimac: equipo industrial. Distribuidor autorizado en Colombia. Solicite su cotización con un asesor de Technofood.</v>
      </c>
    </row>
    <row r="213" customFormat="false" ht="23.85" hidden="false" customHeight="false" outlineLevel="0" collapsed="false">
      <c r="A213" s="8" t="str">
        <f aca="false">Productos!A213</f>
        <v>batidora-bull-160</v>
      </c>
      <c r="B213" s="9" t="str">
        <f aca="false">Productos!D213</f>
        <v>Batidora Bull 160 Rollmatic</v>
      </c>
      <c r="C213" s="9" t="str">
        <f aca="false">Productos!E213</f>
        <v>Batidora Bull 160 Rollmatic | Technofood Colombia</v>
      </c>
      <c r="D213" s="9" t="str">
        <f aca="false">Productos!H213</f>
        <v>Batidora Bull 160 Rollmatic: equipo industrial para la industria de alimentos. Distribuidor autorizado en Colombia. Solicite su cotización con Technofood.</v>
      </c>
    </row>
    <row r="214" customFormat="false" ht="23.85" hidden="false" customHeight="false" outlineLevel="0" collapsed="false">
      <c r="A214" s="8" t="str">
        <f aca="false">Productos!A214</f>
        <v>divisora-boleadora-dr-m</v>
      </c>
      <c r="B214" s="9" t="str">
        <f aca="false">Productos!D214</f>
        <v>Divisora Boleadora DR-M Rollmatic</v>
      </c>
      <c r="C214" s="9" t="str">
        <f aca="false">Productos!E214</f>
        <v>Divisora Boleadora DR-M Rollmatic | Technofood Colombia</v>
      </c>
      <c r="D214" s="9" t="str">
        <f aca="false">Productos!H214</f>
        <v>Divisora Boleadora DR-M Rollmatic: equipo industrial. Distribuidor autorizado en Colombia. Solicite su cotización con un asesor de Technofood.</v>
      </c>
    </row>
    <row r="215" customFormat="false" ht="23.85" hidden="false" customHeight="false" outlineLevel="0" collapsed="false">
      <c r="A215" s="8" t="str">
        <f aca="false">Productos!A215</f>
        <v>divisora-boleadora-dr-s</v>
      </c>
      <c r="B215" s="9" t="str">
        <f aca="false">Productos!D215</f>
        <v>Divisora Boleadora DR-S Rollmatic</v>
      </c>
      <c r="C215" s="9" t="str">
        <f aca="false">Productos!E215</f>
        <v>Divisora Boleadora DR-S Rollmatic | Technofood Colombia</v>
      </c>
      <c r="D215" s="9" t="str">
        <f aca="false">Productos!H215</f>
        <v>Divisora Boleadora DR-S Rollmatic: equipo industrial. Distribuidor autorizado en Colombia. Solicite su cotización con un asesor de Technofood.</v>
      </c>
    </row>
    <row r="216" customFormat="false" ht="23.85" hidden="false" customHeight="false" outlineLevel="0" collapsed="false">
      <c r="A216" s="8" t="str">
        <f aca="false">Productos!A216</f>
        <v>elevador-soll-100-160</v>
      </c>
      <c r="B216" s="9" t="str">
        <f aca="false">Productos!D216</f>
        <v>Elevador Soll 100-160 Rollmatic</v>
      </c>
      <c r="C216" s="9" t="str">
        <f aca="false">Productos!E216</f>
        <v>Elevador Soll 100-160 Rollmatic | Technofood Colombia</v>
      </c>
      <c r="D216" s="9" t="str">
        <f aca="false">Productos!H216</f>
        <v>Elevador Soll 100-160 Rollmatic: equipo industrial. Distribuidor autorizado en Colombia. Solicite su cotización con un asesor de Technofood.</v>
      </c>
    </row>
    <row r="217" customFormat="false" ht="23.85" hidden="false" customHeight="false" outlineLevel="0" collapsed="false">
      <c r="A217" s="8" t="str">
        <f aca="false">Productos!A217</f>
        <v>laminadora-automatica-r65a</v>
      </c>
      <c r="B217" s="9" t="str">
        <f aca="false">Productos!D217</f>
        <v>Laminadora Automática R65A Rollmatic</v>
      </c>
      <c r="C217" s="9" t="str">
        <f aca="false">Productos!E217</f>
        <v>Laminadora Automática R65A Rollmatic | Technofood Colombia</v>
      </c>
      <c r="D217" s="9" t="str">
        <f aca="false">Productos!H217</f>
        <v>Laminadora Automática R65A Rollmatic: equipo industrial. Distribuidor autorizado en Colombia. Solicite su cotización con un asesor de Technofood.</v>
      </c>
    </row>
    <row r="218" customFormat="false" ht="23.85" hidden="false" customHeight="false" outlineLevel="0" collapsed="false">
      <c r="A218" s="8" t="str">
        <f aca="false">Productos!A218</f>
        <v>laminadora-automatica-r65ax</v>
      </c>
      <c r="B218" s="9" t="str">
        <f aca="false">Productos!D218</f>
        <v>Laminadora Automática R65AX Rollmatic</v>
      </c>
      <c r="C218" s="9" t="str">
        <f aca="false">Productos!E218</f>
        <v>Laminadora Automática R65AX Rollmatic | Technofood Colombia</v>
      </c>
      <c r="D218" s="9" t="str">
        <f aca="false">Productos!H218</f>
        <v>Laminadora Automática R65AX Rollmatic: equipo industrial. Distribuidor autorizado en Colombia. Solicite su cotización con un asesor de Technofood.</v>
      </c>
    </row>
    <row r="219" customFormat="false" ht="23.85" hidden="false" customHeight="false" outlineLevel="0" collapsed="false">
      <c r="A219" s="8" t="str">
        <f aca="false">Productos!A219</f>
        <v>laminadora-automatica-r65axp</v>
      </c>
      <c r="B219" s="9" t="str">
        <f aca="false">Productos!D219</f>
        <v>Laminadora Automática R65AXP Rollmatic</v>
      </c>
      <c r="C219" s="9" t="str">
        <f aca="false">Productos!E219</f>
        <v>Laminadora Automática R65AXP Rollmatic | Technofood Colombia</v>
      </c>
      <c r="D219" s="9" t="str">
        <f aca="false">Productos!H219</f>
        <v>Laminadora Automática R65AXP Rollmatic: equipo industrial. Distribuidor autorizado en Colombia. Solicite su cotización con un asesor de Technofood.</v>
      </c>
    </row>
    <row r="220" customFormat="false" ht="23.85" hidden="false" customHeight="false" outlineLevel="0" collapsed="false">
      <c r="A220" s="8" t="str">
        <f aca="false">Productos!A220</f>
        <v>laminadora-compacta-r55</v>
      </c>
      <c r="B220" s="9" t="str">
        <f aca="false">Productos!D220</f>
        <v>Laminadora Compacta R55 Rollmatic</v>
      </c>
      <c r="C220" s="9" t="str">
        <f aca="false">Productos!E220</f>
        <v>Laminadora Compacta R55 Rollmatic | Technofood Colombia</v>
      </c>
      <c r="D220" s="9" t="str">
        <f aca="false">Productos!H220</f>
        <v>Laminadora Compacta R55 Rollmatic: equipo industrial. Distribuidor autorizado en Colombia. Solicite su cotización con un asesor de Technofood.</v>
      </c>
    </row>
    <row r="221" customFormat="false" ht="23.85" hidden="false" customHeight="false" outlineLevel="0" collapsed="false">
      <c r="A221" s="8" t="str">
        <f aca="false">Productos!A221</f>
        <v>laminadora-manual-r60</v>
      </c>
      <c r="B221" s="9" t="str">
        <f aca="false">Productos!D221</f>
        <v>Laminadora Manual R60 Rollmatic</v>
      </c>
      <c r="C221" s="9" t="str">
        <f aca="false">Productos!E221</f>
        <v>Laminadora Manual R60 Rollmatic | Technofood Colombia</v>
      </c>
      <c r="D221" s="9" t="str">
        <f aca="false">Productos!H221</f>
        <v>Laminadora Manual R60 Rollmatic: equipo industrial. Distribuidor autorizado en Colombia. Solicite su cotización con un asesor de Technofood.</v>
      </c>
    </row>
    <row r="222" customFormat="false" ht="23.85" hidden="false" customHeight="false" outlineLevel="0" collapsed="false">
      <c r="A222" s="8" t="str">
        <f aca="false">Productos!A222</f>
        <v>laminadora-manual-r65</v>
      </c>
      <c r="B222" s="9" t="str">
        <f aca="false">Productos!D222</f>
        <v>Laminadora Manual R65 Rollmatic</v>
      </c>
      <c r="C222" s="9" t="str">
        <f aca="false">Productos!E222</f>
        <v>Laminadora Manual R65 Rollmatic | Technofood Colombia</v>
      </c>
      <c r="D222" s="9" t="str">
        <f aca="false">Productos!H222</f>
        <v>Laminadora Manual R65 Rollmatic: equipo industrial. Distribuidor autorizado en Colombia. Solicite su cotización con un asesor de Technofood.</v>
      </c>
    </row>
    <row r="223" customFormat="false" ht="23.85" hidden="false" customHeight="false" outlineLevel="0" collapsed="false">
      <c r="A223" s="8" t="str">
        <f aca="false">Productos!A223</f>
        <v>laminadora-semiautomatica-r65s</v>
      </c>
      <c r="B223" s="9" t="str">
        <f aca="false">Productos!D223</f>
        <v>Laminadora Semiautomática R65S Rollmatic</v>
      </c>
      <c r="C223" s="9" t="str">
        <f aca="false">Productos!E223</f>
        <v>Laminadora Semiautomática R65S Rollmatic | Technofood</v>
      </c>
      <c r="D223" s="9" t="str">
        <f aca="false">Productos!H223</f>
        <v>Laminadora Semiautomática R65S Rollmatic: equipo industrial. Distribuidor autorizado en Colombia. Solicite su cotización con un asesor de Technofood.</v>
      </c>
    </row>
    <row r="224" customFormat="false" ht="23.85" hidden="false" customHeight="false" outlineLevel="0" collapsed="false">
      <c r="A224" s="8" t="str">
        <f aca="false">Productos!A224</f>
        <v>divisora-boleadora-svi-4-5-6-7</v>
      </c>
      <c r="B224" s="9" t="str">
        <f aca="false">Productos!D224</f>
        <v>Divisora Boleadora SVI 4 5 6 7 Sartori</v>
      </c>
      <c r="C224" s="9" t="str">
        <f aca="false">Productos!E224</f>
        <v>Divisora Boleadora SVI 4 5 6 7 Sartori | Technofood Colombia</v>
      </c>
      <c r="D224" s="9" t="str">
        <f aca="false">Productos!H224</f>
        <v>Divisora Boleadora SVI 4 5 6 7 Sartori: equipo industrial. Distribuidor autorizado en Colombia. Solicite su cotización con un asesor de Technofood.</v>
      </c>
    </row>
    <row r="225" customFormat="false" ht="23.85" hidden="false" customHeight="false" outlineLevel="0" collapsed="false">
      <c r="A225" s="8" t="str">
        <f aca="false">Productos!A225</f>
        <v>divisora-boleadora-svi-6da</v>
      </c>
      <c r="B225" s="9" t="str">
        <f aca="false">Productos!D225</f>
        <v>Divisora Boleadora SVI 6DA Sartori</v>
      </c>
      <c r="C225" s="9" t="str">
        <f aca="false">Productos!E225</f>
        <v>Divisora Boleadora SVI 6DA Sartori | Technofood Colombia</v>
      </c>
      <c r="D225" s="9" t="str">
        <f aca="false">Productos!H225</f>
        <v>Divisora Boleadora SVI 6DA Sartori: equipo industrial. Distribuidor autorizado en Colombia. Solicite su cotización con un asesor de Technofood.</v>
      </c>
    </row>
    <row r="226" customFormat="false" ht="23.85" hidden="false" customHeight="false" outlineLevel="0" collapsed="false">
      <c r="A226" s="8" t="str">
        <f aca="false">Productos!A226</f>
        <v>divisora-boleadora-svi-8da</v>
      </c>
      <c r="B226" s="9" t="str">
        <f aca="false">Productos!D226</f>
        <v>Divisora Boleadora SVI 8DA Sartori</v>
      </c>
      <c r="C226" s="9" t="str">
        <f aca="false">Productos!E226</f>
        <v>Divisora Boleadora SVI 8DA Sartori | Technofood Colombia</v>
      </c>
      <c r="D226" s="9" t="str">
        <f aca="false">Productos!H226</f>
        <v>Divisora Boleadora SVI 8DA Sartori: equipo industrial. Distribuidor autorizado en Colombia. Solicite su cotización con un asesor de Technofood.</v>
      </c>
    </row>
    <row r="227" customFormat="false" ht="23.85" hidden="false" customHeight="false" outlineLevel="0" collapsed="false">
      <c r="A227" s="8" t="str">
        <f aca="false">Productos!A227</f>
        <v>divisora-boleadora-svp</v>
      </c>
      <c r="B227" s="9" t="str">
        <f aca="false">Productos!D227</f>
        <v>Divisora Boleadora SVP Sartori</v>
      </c>
      <c r="C227" s="9" t="str">
        <f aca="false">Productos!E227</f>
        <v>Divisora Boleadora SVP Sartori | Technofood Colombia</v>
      </c>
      <c r="D227" s="9" t="str">
        <f aca="false">Productos!H227</f>
        <v>Divisora Boleadora SVP Sartori: equipo industrial. Distribuidor autorizado en Colombia. Solicite su cotización con un asesor de Technofood.</v>
      </c>
    </row>
    <row r="228" customFormat="false" ht="23.85" hidden="false" customHeight="false" outlineLevel="0" collapsed="false">
      <c r="A228" s="8" t="str">
        <f aca="false">Productos!A228</f>
        <v>carro-para-horno</v>
      </c>
      <c r="B228" s="9" t="str">
        <f aca="false">Productos!D228</f>
        <v>Carro para Horno Technofood</v>
      </c>
      <c r="C228" s="9" t="str">
        <f aca="false">Productos!E228</f>
        <v>Carro para Horno Technofood | Technofood Colombia</v>
      </c>
      <c r="D228" s="9" t="str">
        <f aca="false">Productos!H228</f>
        <v>Carro para Horno Technofood: equipo industrial para la industria de alimentos. Distribuidor autorizado en Colombia. Solicite su cotización con Technofood.</v>
      </c>
    </row>
    <row r="229" customFormat="false" ht="23.85" hidden="false" customHeight="false" outlineLevel="0" collapsed="false">
      <c r="A229" s="8" t="str">
        <f aca="false">Productos!A229</f>
        <v>camara-de-fermentacion-1-carro</v>
      </c>
      <c r="B229" s="9" t="str">
        <f aca="false">Productos!D229</f>
        <v>Cámara de Fermentación 1 Carro Technofood</v>
      </c>
      <c r="C229" s="9" t="str">
        <f aca="false">Productos!E229</f>
        <v>Cámara de Fermentación 1 Carro Technofood | Technofood</v>
      </c>
      <c r="D229" s="9" t="str">
        <f aca="false">Productos!H229</f>
        <v>Cámara de Fermentación 1 Carro Technofood: equipo industrial. Distribuidor autorizado en Colombia. Solicite su cotización con un asesor de Technofood.</v>
      </c>
    </row>
    <row r="230" customFormat="false" ht="23.85" hidden="false" customHeight="false" outlineLevel="0" collapsed="false">
      <c r="A230" s="8" t="str">
        <f aca="false">Productos!A230</f>
        <v>dosificador-digital-de-liquidos</v>
      </c>
      <c r="B230" s="9" t="str">
        <f aca="false">Productos!D230</f>
        <v>Dosificador Digital de Líquidos Technofood</v>
      </c>
      <c r="C230" s="9" t="str">
        <f aca="false">Productos!E230</f>
        <v>Dosificador Digital de Líquidos Technofood | Technofood</v>
      </c>
      <c r="D230" s="9" t="str">
        <f aca="false">Productos!H230</f>
        <v>Dosificador Digital de Líquidos Technofood: equipo industrial. Distribuidor autorizado en Colombia. Solicite su cotización con un asesor de Technofood.</v>
      </c>
    </row>
    <row r="231" customFormat="false" ht="23.85" hidden="false" customHeight="false" outlineLevel="0" collapsed="false">
      <c r="A231" s="8" t="str">
        <f aca="false">Productos!A231</f>
        <v>horno-rotativo-1530l</v>
      </c>
      <c r="B231" s="9" t="str">
        <f aca="false">Productos!D231</f>
        <v>Horno Rotativo 1530L Technofood</v>
      </c>
      <c r="C231" s="9" t="str">
        <f aca="false">Productos!E231</f>
        <v>Horno Rotativo 1530L Technofood | Technofood Colombia</v>
      </c>
      <c r="D231" s="9" t="str">
        <f aca="false">Productos!H231</f>
        <v>Horno Rotativo 1530L Technofood: equipo industrial. Distribuidor autorizado en Colombia. Solicite su cotización con un asesor de Technofood.</v>
      </c>
    </row>
    <row r="232" customFormat="false" ht="23.85" hidden="false" customHeight="false" outlineLevel="0" collapsed="false">
      <c r="A232" s="8" t="str">
        <f aca="false">Productos!A232</f>
        <v>horno-rotativo-2040l</v>
      </c>
      <c r="B232" s="9" t="str">
        <f aca="false">Productos!D232</f>
        <v>Horno Rotativo 2040L Technofood</v>
      </c>
      <c r="C232" s="9" t="str">
        <f aca="false">Productos!E232</f>
        <v>Horno Rotativo 2040L Technofood | Technofood Colombia</v>
      </c>
      <c r="D232" s="9" t="str">
        <f aca="false">Productos!H232</f>
        <v>Horno Rotativo 2040L Technofood: equipo industrial. Distribuidor autorizado en Colombia. Solicite su cotización con un asesor de Technofood.</v>
      </c>
    </row>
    <row r="233" customFormat="false" ht="23.85" hidden="false" customHeight="false" outlineLevel="0" collapsed="false">
      <c r="A233" s="8" t="str">
        <f aca="false">Productos!A233</f>
        <v>horno-rotativo-4080l</v>
      </c>
      <c r="B233" s="9" t="str">
        <f aca="false">Productos!D233</f>
        <v>Horno Rotativo 4080L Technofood</v>
      </c>
      <c r="C233" s="9" t="str">
        <f aca="false">Productos!E233</f>
        <v>Horno Rotativo 4080L Technofood | Technofood Colombia</v>
      </c>
      <c r="D233" s="9" t="str">
        <f aca="false">Productos!H233</f>
        <v>Horno Rotativo 4080L Technofood: equipo industrial. Distribuidor autorizado en Colombia. Solicite su cotización con un asesor de Technofood.</v>
      </c>
    </row>
    <row r="234" customFormat="false" ht="23.85" hidden="false" customHeight="false" outlineLevel="0" collapsed="false">
      <c r="A234" s="8" t="str">
        <f aca="false">Productos!A234</f>
        <v>horno-rotativo-doble-tn</v>
      </c>
      <c r="B234" s="9" t="str">
        <f aca="false">Productos!D234</f>
        <v>Horno Rotativo Doble TN Technofood</v>
      </c>
      <c r="C234" s="9" t="str">
        <f aca="false">Productos!E234</f>
        <v>Horno Rotativo Doble TN Technofood | Technofood Colombia</v>
      </c>
      <c r="D234" s="9" t="str">
        <f aca="false">Productos!H234</f>
        <v>Horno Rotativo Doble TN Technofood: equipo industrial. Distribuidor autorizado en Colombia. Solicite su cotización con un asesor de Technofood.</v>
      </c>
    </row>
    <row r="235" customFormat="false" ht="23.85" hidden="false" customHeight="false" outlineLevel="0" collapsed="false">
      <c r="A235" s="8" t="str">
        <f aca="false">Productos!A235</f>
        <v>molino-calado-para-miga-de-pan</v>
      </c>
      <c r="B235" s="9" t="str">
        <f aca="false">Productos!D235</f>
        <v>Molino Calado para Miga de Pan Technofood</v>
      </c>
      <c r="C235" s="9" t="str">
        <f aca="false">Productos!E235</f>
        <v>Molino Calado para Miga de Pan Technofood | Technofood</v>
      </c>
      <c r="D235" s="9" t="str">
        <f aca="false">Productos!H235</f>
        <v>Molino Calado para Miga de Pan Technofood: equipo industrial. Distribuidor autorizado en Colombia. Solicite su cotización con un asesor de Technofood.</v>
      </c>
    </row>
    <row r="236" customFormat="false" ht="23.85" hidden="false" customHeight="false" outlineLevel="0" collapsed="false">
      <c r="A236" s="8" t="str">
        <f aca="false">Productos!A236</f>
        <v>pulverizador-aspersor-sx400</v>
      </c>
      <c r="B236" s="9" t="str">
        <f aca="false">Productos!D236</f>
        <v>Pulverizador (Aspersor) SX400 Technofood</v>
      </c>
      <c r="C236" s="9" t="str">
        <f aca="false">Productos!E236</f>
        <v>Pulverizador (Aspersor) SX400 Technofood | Technofood</v>
      </c>
      <c r="D236" s="9" t="str">
        <f aca="false">Productos!H236</f>
        <v>Pulverizador (Aspersor) SX400 Technofood: equipo industrial. Distribuidor autorizado en Colombia. Solicite su cotización con un asesor de Technofood.</v>
      </c>
    </row>
    <row r="237" customFormat="false" ht="23.85" hidden="false" customHeight="false" outlineLevel="0" collapsed="false">
      <c r="A237" s="8" t="str">
        <f aca="false">Productos!A237</f>
        <v>amasadora-eracle-zanolli</v>
      </c>
      <c r="B237" s="9" t="str">
        <f aca="false">Productos!D237</f>
        <v>Amasadora Eracle Zanolli</v>
      </c>
      <c r="C237" s="9" t="str">
        <f aca="false">Productos!E237</f>
        <v>Amasadora Eracle Zanolli | Technofood Colombia</v>
      </c>
      <c r="D237" s="9" t="str">
        <f aca="false">Productos!H237</f>
        <v>Amasadora Eracle Zanolli: equipo industrial para la industria de alimentos. Distribuidor autorizado en Colombia. Solicite su cotización con Technofood.</v>
      </c>
    </row>
    <row r="238" customFormat="false" ht="23.85" hidden="false" customHeight="false" outlineLevel="0" collapsed="false">
      <c r="A238" s="8" t="str">
        <f aca="false">Productos!A238</f>
        <v>amasadora-galassia</v>
      </c>
      <c r="B238" s="9" t="str">
        <f aca="false">Productos!D238</f>
        <v>Amasadora Galassia Zanolli</v>
      </c>
      <c r="C238" s="9" t="str">
        <f aca="false">Productos!E238</f>
        <v>Amasadora Galassia Zanolli | Technofood Colombia</v>
      </c>
      <c r="D238" s="9" t="str">
        <f aca="false">Productos!H238</f>
        <v>Amasadora Galassia Zanolli: equipo industrial para la industria de alimentos. Distribuidor autorizado en Colombia. Solicite su cotización con Technofood.</v>
      </c>
    </row>
    <row r="239" customFormat="false" ht="23.85" hidden="false" customHeight="false" outlineLevel="0" collapsed="false">
      <c r="A239" s="8" t="str">
        <f aca="false">Productos!A239</f>
        <v>cortadora-de-queso-y-verduras-talia</v>
      </c>
      <c r="B239" s="9" t="str">
        <f aca="false">Productos!D239</f>
        <v>Cortadora de Queso y Verduras Talía Zanolli</v>
      </c>
      <c r="C239" s="9" t="str">
        <f aca="false">Productos!E239</f>
        <v>Cortadora de Queso y Verduras Talía Zanolli | Technofood</v>
      </c>
      <c r="D239" s="9" t="str">
        <f aca="false">Productos!H239</f>
        <v>Cortadora de Queso y Verduras Talía Zanolli: equipo industrial. Distribuidor autorizado en Colombia. Solicite su cotización con un asesor de Technofood.</v>
      </c>
    </row>
    <row r="240" customFormat="false" ht="23.85" hidden="false" customHeight="false" outlineLevel="0" collapsed="false">
      <c r="A240" s="8" t="str">
        <f aca="false">Productos!A240</f>
        <v>horno-tunel-synthesis</v>
      </c>
      <c r="B240" s="9" t="str">
        <f aca="false">Productos!D240</f>
        <v>Horno Túnel Synthesis Zanolli</v>
      </c>
      <c r="C240" s="9" t="str">
        <f aca="false">Productos!E240</f>
        <v>Horno Túnel Synthesis Zanolli | Technofood Colombia</v>
      </c>
      <c r="D240" s="9" t="str">
        <f aca="false">Productos!H240</f>
        <v>Horno Túnel Synthesis Zanolli: equipo industrial. Distribuidor autorizado en Colombia. Solicite su cotización con un asesor de Technofood.</v>
      </c>
    </row>
    <row r="241" customFormat="false" ht="23.85" hidden="false" customHeight="false" outlineLevel="0" collapsed="false">
      <c r="A241" s="8" t="str">
        <f aca="false">Productos!A241</f>
        <v>horno-tunel-teorema-polis</v>
      </c>
      <c r="B241" s="9" t="str">
        <f aca="false">Productos!D241</f>
        <v>Horno Túnel Teorema Polis Zanolli</v>
      </c>
      <c r="C241" s="9" t="str">
        <f aca="false">Productos!E241</f>
        <v>Horno Túnel Teorema Polis Zanolli | Technofood Colombia</v>
      </c>
      <c r="D241" s="9" t="str">
        <f aca="false">Productos!H241</f>
        <v>Horno Túnel Teorema Polis Zanolli: equipo industrial. Distribuidor autorizado en Colombia. Solicite su cotización con un asesor de Technofood.</v>
      </c>
    </row>
    <row r="242" customFormat="false" ht="23.85" hidden="false" customHeight="false" outlineLevel="0" collapsed="false">
      <c r="A242" s="8" t="str">
        <f aca="false">Productos!A242</f>
        <v>moldeadora-de-pizza-roller</v>
      </c>
      <c r="B242" s="9" t="str">
        <f aca="false">Productos!D242</f>
        <v>Moldeadora de Pizza Roller Zanolli</v>
      </c>
      <c r="C242" s="9" t="str">
        <f aca="false">Productos!E242</f>
        <v>Moldeadora de Pizza Roller Zanolli | Technofood Colombia</v>
      </c>
      <c r="D242" s="9" t="str">
        <f aca="false">Productos!H242</f>
        <v>Moldeadora de Pizza Roller Zanolli: equipo industrial. Distribuidor autorizado en Colombia. Solicite su cotización con un asesor de Technofood.</v>
      </c>
    </row>
    <row r="243" customFormat="false" ht="23.85" hidden="false" customHeight="false" outlineLevel="0" collapsed="false">
      <c r="A243" s="8" t="str">
        <f aca="false">Productos!A243</f>
        <v>linea-completa-de-envase-al-vacio-retractilado-frio-y-secado</v>
      </c>
      <c r="B243" s="9" t="str">
        <f aca="false">Productos!D243</f>
        <v>Línea Completa de Envase al Vacío, Retractilado, Frío y Secado Supervac</v>
      </c>
      <c r="C243" s="9" t="str">
        <f aca="false">Productos!E243</f>
        <v>Línea de Envase al Vacío y Retractilado | Supervac</v>
      </c>
      <c r="D243" s="9" t="str">
        <f aca="false">Productos!H243</f>
        <v>Línea Completa de Envase al Vacío y Retractilado Supervac. Distribuidor autorizado en Colombia. Solicite su cotización con Technofood.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2026-10-15T11:15:48Z</dcterms:created>
  <dc:creator>openpyxl</dc:creator>
  <dc:description/>
  <dc:language>en-US</dc:language>
  <cp:lastModifiedBy/>
  <dcterms:modified xsi:type="dcterms:W3CDTF">2026-10-15T11:15:49Z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